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hidePivotFieldList="1" defaultThemeVersion="166925"/>
  <xr:revisionPtr revIDLastSave="0" documentId="8_{6F24DA8D-5200-474B-9076-D59839EF3AF8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Fund_Master" sheetId="1" r:id="rId1"/>
    <sheet name="Fund House Pivot1" sheetId="9" state="hidden" r:id="rId2"/>
    <sheet name="Fund House Pivot2" sheetId="10" state="hidden" r:id="rId3"/>
    <sheet name="AUM" sheetId="8" r:id="rId4"/>
    <sheet name="AUM Pivot" sheetId="11" state="hidden" r:id="rId5"/>
    <sheet name="SIP_Inflows" sheetId="3" r:id="rId6"/>
    <sheet name="SIP Pivot" sheetId="14" state="hidden" r:id="rId7"/>
    <sheet name="Category_Inflows" sheetId="4" r:id="rId8"/>
    <sheet name="Category Pivot" sheetId="13" state="hidden" r:id="rId9"/>
    <sheet name="Performance" sheetId="6" r:id="rId10"/>
    <sheet name="Performance Pivot" sheetId="12" state="hidden" r:id="rId11"/>
    <sheet name="Dashboard" sheetId="7" r:id="rId12"/>
  </sheets>
  <calcPr calcId="191028"/>
  <pivotCaches>
    <pivotCache cacheId="10" r:id="rId13"/>
    <pivotCache cacheId="1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" i="7" l="1"/>
  <c r="E9" i="7"/>
  <c r="C9" i="7"/>
  <c r="A9" i="7"/>
  <c r="G5" i="7"/>
  <c r="E5" i="7"/>
  <c r="C5" i="7"/>
  <c r="A5" i="7"/>
</calcChain>
</file>

<file path=xl/sharedStrings.xml><?xml version="1.0" encoding="utf-8"?>
<sst xmlns="http://schemas.openxmlformats.org/spreadsheetml/2006/main" count="1149" uniqueCount="220">
  <si>
    <t>amfi_code</t>
  </si>
  <si>
    <t>fund_house</t>
  </si>
  <si>
    <t>scheme_name</t>
  </si>
  <si>
    <t>category</t>
  </si>
  <si>
    <t>sub_category</t>
  </si>
  <si>
    <t>plan</t>
  </si>
  <si>
    <t>launch_date</t>
  </si>
  <si>
    <t>benchmark</t>
  </si>
  <si>
    <t>expense_ratio_pct</t>
  </si>
  <si>
    <t>exit_load_pct</t>
  </si>
  <si>
    <t>min_sip_amount</t>
  </si>
  <si>
    <t>min_lumpsum_amount</t>
  </si>
  <si>
    <t>fund_manager</t>
  </si>
  <si>
    <t>risk_category</t>
  </si>
  <si>
    <t>sebi_category_code</t>
  </si>
  <si>
    <t>SBI Mutual Fund</t>
  </si>
  <si>
    <t>SBI Bluechip Fund - Regular Plan - Growth</t>
  </si>
  <si>
    <t>Equity</t>
  </si>
  <si>
    <t>Large Cap</t>
  </si>
  <si>
    <t>Regular</t>
  </si>
  <si>
    <t>NIFTY 100 TRI</t>
  </si>
  <si>
    <t>Sohini Andani</t>
  </si>
  <si>
    <t>Moderate</t>
  </si>
  <si>
    <t>EC01</t>
  </si>
  <si>
    <t>SBI Bluechip Fund - Direct Plan - Growth</t>
  </si>
  <si>
    <t>Direct</t>
  </si>
  <si>
    <t>SBI Small Cap Fund - Regular Plan - Growth</t>
  </si>
  <si>
    <t>Small Cap</t>
  </si>
  <si>
    <t>BSE 250 SmallCap TRI</t>
  </si>
  <si>
    <t>R. Srinivasan</t>
  </si>
  <si>
    <t>Very High</t>
  </si>
  <si>
    <t>EC03</t>
  </si>
  <si>
    <t>SBI Small Cap Fund - Direct Plan - Growth</t>
  </si>
  <si>
    <t>SBI Magnum Gilt Fund - Regular Plan - Growth</t>
  </si>
  <si>
    <t>Debt</t>
  </si>
  <si>
    <t>Gilt</t>
  </si>
  <si>
    <t>CRISIL Dynamic Gilt Index</t>
  </si>
  <si>
    <t>Dinesh Ahuja</t>
  </si>
  <si>
    <t>Low</t>
  </si>
  <si>
    <t>DC02</t>
  </si>
  <si>
    <t>HDFC Mutual Fund</t>
  </si>
  <si>
    <t>HDFC Top 100 Fund - Regular Plan - Growth</t>
  </si>
  <si>
    <t>Rahul Baijal</t>
  </si>
  <si>
    <t>HDFC Top 100 Fund - Direct Plan - Growth</t>
  </si>
  <si>
    <t>HDFC Mid-Cap Opportunities Fund - Regular - Growth</t>
  </si>
  <si>
    <t>Mid Cap</t>
  </si>
  <si>
    <t>NIFTY Midcap 150 TRI</t>
  </si>
  <si>
    <t>Chirag Setalvad</t>
  </si>
  <si>
    <t>High</t>
  </si>
  <si>
    <t>EC02</t>
  </si>
  <si>
    <t>HDFC Mid-Cap Opportunities Fund - Direct - Growth</t>
  </si>
  <si>
    <t>HDFC Short Term Debt Fund - Regular - Growth</t>
  </si>
  <si>
    <t>Short Duration</t>
  </si>
  <si>
    <t>CRISIL Short Term Bond Index</t>
  </si>
  <si>
    <t>Anil Bamboli</t>
  </si>
  <si>
    <t>ICICI Prudential MF</t>
  </si>
  <si>
    <t>ICICI Pru Bluechip Fund - Regular - Growth</t>
  </si>
  <si>
    <t>Anish Tawakley</t>
  </si>
  <si>
    <t>ICICI Pru Bluechip Fund - Direct - Growth</t>
  </si>
  <si>
    <t>ICICI Pru Midcap Fund - Regular - Growth</t>
  </si>
  <si>
    <t>Sankaran Naren</t>
  </si>
  <si>
    <t>ICICI Pru Value Discovery Fund - Regular - Growth</t>
  </si>
  <si>
    <t>Value</t>
  </si>
  <si>
    <t>NIFTY 500 TRI</t>
  </si>
  <si>
    <t>Moderately High</t>
  </si>
  <si>
    <t>EC06</t>
  </si>
  <si>
    <t>ICICI Pru Liquid Fund - Regular - Growth</t>
  </si>
  <si>
    <t>Liquid</t>
  </si>
  <si>
    <t>CRISIL Liquid Fund AI Index</t>
  </si>
  <si>
    <t>Rahul Goswami</t>
  </si>
  <si>
    <t>DC01</t>
  </si>
  <si>
    <t>Nippon India MF</t>
  </si>
  <si>
    <t>Nippon India Large Cap Fund - Regular - Growth</t>
  </si>
  <si>
    <t>Sailesh Raj Bhan</t>
  </si>
  <si>
    <t>Nippon India Large Cap Fund - Direct - Growth</t>
  </si>
  <si>
    <t>Nippon India Small Cap Fund - Regular - Growth</t>
  </si>
  <si>
    <t>Samir Rachh</t>
  </si>
  <si>
    <t>Nippon India ETF Nifty 50 BeES</t>
  </si>
  <si>
    <t>Index/ETF</t>
  </si>
  <si>
    <t>NIFTY 50 TRI</t>
  </si>
  <si>
    <t>Vishal Jain</t>
  </si>
  <si>
    <t>EI01</t>
  </si>
  <si>
    <t>Nippon India Gilt Securities Fund - Regular - Growth</t>
  </si>
  <si>
    <t>Vivek Sharma</t>
  </si>
  <si>
    <t>Kotak Mahindra MF</t>
  </si>
  <si>
    <t>Kotak Bluechip Fund - Regular - Growth</t>
  </si>
  <si>
    <t>Harsha Upadhyaya</t>
  </si>
  <si>
    <t>Kotak Emerging Equity Fund - Regular - Growth</t>
  </si>
  <si>
    <t>Pankaj Tibrewal</t>
  </si>
  <si>
    <t>Kotak Flexicap Fund - Regular - Growth</t>
  </si>
  <si>
    <t>Flexi Cap</t>
  </si>
  <si>
    <t>EC04</t>
  </si>
  <si>
    <t>Kotak Liquid Fund - Regular - Growth</t>
  </si>
  <si>
    <t>Deepak Agrawal</t>
  </si>
  <si>
    <t>Axis Mutual Fund</t>
  </si>
  <si>
    <t>Axis Bluechip Fund - Regular - Growth</t>
  </si>
  <si>
    <t>Shreyash Devalkar</t>
  </si>
  <si>
    <t>Axis Bluechip Fund - Direct - Growth</t>
  </si>
  <si>
    <t>Axis Midcap Fund - Regular - Growth</t>
  </si>
  <si>
    <t>NIFTY Midcap 50 TRI</t>
  </si>
  <si>
    <t>Jinesh Gopani</t>
  </si>
  <si>
    <t>Axis Small Cap Fund - Regular - Growth</t>
  </si>
  <si>
    <t>Anupam Tiwari</t>
  </si>
  <si>
    <t>Aditya Birla Sun Life MF</t>
  </si>
  <si>
    <t>ABSL Frontline Equity Fund - Regular - Growth</t>
  </si>
  <si>
    <t>Mahesh Patil</t>
  </si>
  <si>
    <t>ABSL Small Cap Fund - Regular - Growth</t>
  </si>
  <si>
    <t>Mircea Ciobanu</t>
  </si>
  <si>
    <t>ABSL Liquid Fund - Regular - Growth</t>
  </si>
  <si>
    <t>Maneesh Dangi</t>
  </si>
  <si>
    <t>UTI Mutual Fund</t>
  </si>
  <si>
    <t>UTI Nifty 50 Index Fund - Regular - Growth</t>
  </si>
  <si>
    <t>Index</t>
  </si>
  <si>
    <t>Sharwan Kumar Goyal</t>
  </si>
  <si>
    <t>UTI Mid Cap Fund - Regular - Growth</t>
  </si>
  <si>
    <t>V Srivatsa</t>
  </si>
  <si>
    <t>UTI Flexi Cap Fund - Regular - Growth</t>
  </si>
  <si>
    <t>Ajay Tyagi</t>
  </si>
  <si>
    <t>Mirae Asset MF</t>
  </si>
  <si>
    <t>Mirae Asset Large Cap Fund - Regular - Growth</t>
  </si>
  <si>
    <t>Gaurav Misra</t>
  </si>
  <si>
    <t>Mirae Asset Emerging Bluechip Fund - Regular - Growth</t>
  </si>
  <si>
    <t>Large &amp; Mid Cap</t>
  </si>
  <si>
    <t>NIFTY Large Midcap 250 TRI</t>
  </si>
  <si>
    <t>Neelesh Surana</t>
  </si>
  <si>
    <t>Mirae Asset Tax Saver Fund - Regular - Growth</t>
  </si>
  <si>
    <t>ELSS</t>
  </si>
  <si>
    <t>EC05</t>
  </si>
  <si>
    <t>DSP Mutual Fund</t>
  </si>
  <si>
    <t>DSP Top 100 Equity Fund - Regular - Growth</t>
  </si>
  <si>
    <t>Apoorva Shah</t>
  </si>
  <si>
    <t>DSP Midcap Fund - Regular - Growth</t>
  </si>
  <si>
    <t>Vinit Sambre</t>
  </si>
  <si>
    <t>DSP Small Cap Fund - Regular - Growth</t>
  </si>
  <si>
    <t>Count of scheme_name</t>
  </si>
  <si>
    <t>Grand Total</t>
  </si>
  <si>
    <t>date</t>
  </si>
  <si>
    <t>aum_lakh_crore</t>
  </si>
  <si>
    <t>aum_crore</t>
  </si>
  <si>
    <t>num_schemes</t>
  </si>
  <si>
    <t>Sum of aum_crore</t>
  </si>
  <si>
    <t>month</t>
  </si>
  <si>
    <t>sip_inflow_crore</t>
  </si>
  <si>
    <t>active_sip_accounts_crore</t>
  </si>
  <si>
    <t>new_sip_accounts_lakh</t>
  </si>
  <si>
    <t>sip_aum_lakh_crore</t>
  </si>
  <si>
    <t>yoy_growth_pct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</si>
  <si>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</si>
  <si>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</si>
  <si>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</si>
  <si>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</si>
  <si>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</si>
  <si>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</si>
  <si>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</si>
  <si>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</si>
  <si>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</si>
  <si>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</si>
  <si>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</si>
  <si>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</si>
  <si>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</si>
  <si>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</si>
  <si>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</si>
  <si>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</si>
  <si>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</si>
  <si>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</si>
  <si>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</si>
  <si>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</si>
  <si>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</si>
  <si>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</si>
  <si>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</si>
  <si>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</si>
  <si>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</si>
  <si>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</si>
  <si>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</si>
  <si>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</si>
  <si>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</si>
  <si>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</si>
  <si>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</si>
  <si>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</si>
  <si>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</si>
  <si>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</si>
  <si>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</si>
  <si>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</si>
  <si>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</si>
  <si>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</si>
  <si>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</si>
  <si>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</si>
  <si>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</si>
  <si>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</si>
  <si>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</si>
  <si>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</si>
  <si>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</si>
  <si>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</si>
  <si>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</si>
  <si>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</si>
  <si>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net_inflow_crore</t>
  </si>
  <si>
    <t>Value/Contra</t>
  </si>
  <si>
    <t>Sectoral/Thematic</t>
  </si>
  <si>
    <t>Hybrid</t>
  </si>
  <si>
    <t>return_1yr_pct</t>
  </si>
  <si>
    <t>return_3yr_pct</t>
  </si>
  <si>
    <t>return_5yr_pct</t>
  </si>
  <si>
    <t>benchmark_3yr_pct</t>
  </si>
  <si>
    <t>alpha</t>
  </si>
  <si>
    <t>beta</t>
  </si>
  <si>
    <t>sharpe_ratio</t>
  </si>
  <si>
    <t>sortino_ratio</t>
  </si>
  <si>
    <t>std_dev_ann_pct</t>
  </si>
  <si>
    <t>max_drawdown_pct</t>
  </si>
  <si>
    <t>morningstar_rating</t>
  </si>
  <si>
    <t>risk_grade</t>
  </si>
  <si>
    <t>Mutual Fund Analytics Dashboard</t>
  </si>
  <si>
    <t>Total Schemes</t>
  </si>
  <si>
    <t>Fund Houses</t>
  </si>
  <si>
    <t>Equity Schemes</t>
  </si>
  <si>
    <t>Debt Schemes</t>
  </si>
  <si>
    <t>Average Expense Ratio</t>
  </si>
  <si>
    <t>Average AUM</t>
  </si>
  <si>
    <t>Risk Categories</t>
  </si>
  <si>
    <t>Average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</si>
</sst>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</font>
    <font>
      <sz val="11"/>
      <color theme="1"/>
      <name val="Consolas"/>
      <charset val="1"/>
    </font>
    <font>
      <sz val="16"/>
      <color rgb="FF000000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4"/>
      <color theme="1"/>
      <name val="Times New Roman"/>
    </font>
    <font>
      <b/>
      <sz val="14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/>
    <xf numFmtId="0" fontId="2" fillId="0" borderId="0" xfId="0" applyFont="1" applyAlignment="1"/>
    <xf numFmtId="0" fontId="0" fillId="0" borderId="0" xfId="0" applyFont="1" applyAlignme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0" fillId="0" borderId="0" xfId="0" pivotButton="1"/>
    <xf numFmtId="0" fontId="0" fillId="0" borderId="0" xfId="0" applyNumberForma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SIP Inflows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SIP_Inflows!$B$1</c:f>
              <c:strCache>
                <c:ptCount val="1"/>
                <c:pt idx="0">
                  <c:v>sip_inflow_crore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SIP_Inflows!$A$2:$A$49</c:f>
              <c:strCache>
                <c:ptCount val="48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</c:strCache>
            </c:strRef>
          </c:cat>
          <c:val>
            <c:numRef>
              <c:f>SIP_Inflows!$B$2:$B$49</c:f>
              <c:numCache>
                <c:formatCode>General</c:formatCode>
                <c:ptCount val="48"/>
                <c:pt idx="0">
                  <c:v>11517</c:v>
                </c:pt>
                <c:pt idx="1">
                  <c:v>11438</c:v>
                </c:pt>
                <c:pt idx="2">
                  <c:v>12328</c:v>
                </c:pt>
                <c:pt idx="3">
                  <c:v>11863</c:v>
                </c:pt>
                <c:pt idx="4">
                  <c:v>12286</c:v>
                </c:pt>
                <c:pt idx="5">
                  <c:v>12276</c:v>
                </c:pt>
                <c:pt idx="6">
                  <c:v>12140</c:v>
                </c:pt>
                <c:pt idx="7">
                  <c:v>12694</c:v>
                </c:pt>
                <c:pt idx="8">
                  <c:v>12976</c:v>
                </c:pt>
                <c:pt idx="9">
                  <c:v>13040</c:v>
                </c:pt>
                <c:pt idx="10">
                  <c:v>13306</c:v>
                </c:pt>
                <c:pt idx="11">
                  <c:v>13573</c:v>
                </c:pt>
                <c:pt idx="12">
                  <c:v>13856</c:v>
                </c:pt>
                <c:pt idx="13">
                  <c:v>13687</c:v>
                </c:pt>
                <c:pt idx="14">
                  <c:v>14276</c:v>
                </c:pt>
                <c:pt idx="15">
                  <c:v>14749</c:v>
                </c:pt>
                <c:pt idx="16">
                  <c:v>14749</c:v>
                </c:pt>
                <c:pt idx="17">
                  <c:v>14734</c:v>
                </c:pt>
                <c:pt idx="18">
                  <c:v>15245</c:v>
                </c:pt>
                <c:pt idx="19">
                  <c:v>15814</c:v>
                </c:pt>
                <c:pt idx="20">
                  <c:v>16042</c:v>
                </c:pt>
                <c:pt idx="21">
                  <c:v>16928</c:v>
                </c:pt>
                <c:pt idx="22">
                  <c:v>17073</c:v>
                </c:pt>
                <c:pt idx="23">
                  <c:v>17610</c:v>
                </c:pt>
                <c:pt idx="24">
                  <c:v>18838</c:v>
                </c:pt>
                <c:pt idx="25">
                  <c:v>19187</c:v>
                </c:pt>
                <c:pt idx="26">
                  <c:v>20371</c:v>
                </c:pt>
                <c:pt idx="27">
                  <c:v>20371</c:v>
                </c:pt>
                <c:pt idx="28">
                  <c:v>21262</c:v>
                </c:pt>
                <c:pt idx="29">
                  <c:v>21262</c:v>
                </c:pt>
                <c:pt idx="30">
                  <c:v>23332</c:v>
                </c:pt>
                <c:pt idx="31">
                  <c:v>23547</c:v>
                </c:pt>
                <c:pt idx="32">
                  <c:v>24509</c:v>
                </c:pt>
                <c:pt idx="33">
                  <c:v>25323</c:v>
                </c:pt>
                <c:pt idx="34">
                  <c:v>25320</c:v>
                </c:pt>
                <c:pt idx="35">
                  <c:v>26459</c:v>
                </c:pt>
                <c:pt idx="36">
                  <c:v>26400</c:v>
                </c:pt>
                <c:pt idx="37">
                  <c:v>25999</c:v>
                </c:pt>
                <c:pt idx="38">
                  <c:v>25926</c:v>
                </c:pt>
                <c:pt idx="39">
                  <c:v>26632</c:v>
                </c:pt>
                <c:pt idx="40">
                  <c:v>26688</c:v>
                </c:pt>
                <c:pt idx="41">
                  <c:v>27274</c:v>
                </c:pt>
                <c:pt idx="42">
                  <c:v>28464</c:v>
                </c:pt>
                <c:pt idx="43">
                  <c:v>28265</c:v>
                </c:pt>
                <c:pt idx="44">
                  <c:v>29361</c:v>
                </c:pt>
                <c:pt idx="45">
                  <c:v>29529</c:v>
                </c:pt>
                <c:pt idx="46">
                  <c:v>30200</c:v>
                </c:pt>
                <c:pt idx="47">
                  <c:v>31002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6E-4E68-A86A-A9327DA8E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3373064"/>
        <c:axId val="2043375112"/>
      </c:lineChart>
      <c:catAx>
        <c:axId val="2043373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375112"/>
        <c:crosses val="autoZero"/>
        <c:auto val="1"/>
        <c:lblAlgn val="ctr"/>
        <c:lblOffset val="100"/>
        <c:noMultiLvlLbl val="0"/>
      </c:catAx>
      <c:valAx>
        <c:axId val="2043375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373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[MutualFundAnalytics_Dashboard.xlsx]Fund House Pivot1!PivotTable1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Fund House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'Fund House Pivot1'!$B$3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'Fund House Pivot1'!$A$4:$A$14</c:f>
              <c:strCache>
                <c:ptCount val="10"/>
                <c:pt idx="0">
                  <c:v>Aditya Birla Sun Life MF</c:v>
                </c:pt>
                <c:pt idx="1">
                  <c:v>Axis Mutual Fund</c:v>
                </c:pt>
                <c:pt idx="2">
                  <c:v>DSP Mutual Fund</c:v>
                </c:pt>
                <c:pt idx="3">
                  <c:v>HDFC Mutual Fund</c:v>
                </c:pt>
                <c:pt idx="4">
                  <c:v>ICICI Prudential MF</c:v>
                </c:pt>
                <c:pt idx="5">
                  <c:v>Kotak Mahindra MF</c:v>
                </c:pt>
                <c:pt idx="6">
                  <c:v>Mirae Asset MF</c:v>
                </c:pt>
                <c:pt idx="7">
                  <c:v>Nippon India MF</c:v>
                </c:pt>
                <c:pt idx="8">
                  <c:v>SBI Mutual Fund</c:v>
                </c:pt>
                <c:pt idx="9">
                  <c:v>UTI Mutual Fund</c:v>
                </c:pt>
              </c:strCache>
            </c:strRef>
          </c:cat>
          <c:val>
            <c:numRef>
              <c:f>'Fund House Pivot1'!$B$4:$B$14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5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3-45A2-86C7-10B7362EA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9650055"/>
        <c:axId val="1139656199"/>
      </c:barChart>
      <c:catAx>
        <c:axId val="1139650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656199"/>
        <c:crosses val="autoZero"/>
        <c:auto val="1"/>
        <c:lblAlgn val="ctr"/>
        <c:lblOffset val="100"/>
        <c:noMultiLvlLbl val="0"/>
      </c:catAx>
      <c:valAx>
        <c:axId val="1139656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650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[MutualFundAnalytics_Dashboard.xlsx]Fund House Pivot2!PivotTable2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Scheme Category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'Fund House Pivot2'!$B$3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39-45FA-BB09-5C466EE8C4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39-45FA-BB09-5C466EE8C44D}"/>
              </c:ext>
            </c:extLst>
          </c:dPt>
          <c:cat>
            <c:strRef>
              <c:f>'Fund House Pivot2'!$A$4:$A$6</c:f>
              <c:strCache>
                <c:ptCount val="2"/>
                <c:pt idx="0">
                  <c:v>Debt</c:v>
                </c:pt>
                <c:pt idx="1">
                  <c:v>Equity</c:v>
                </c:pt>
              </c:strCache>
            </c:strRef>
          </c:cat>
          <c:val>
            <c:numRef>
              <c:f>'Fund House Pivot2'!$B$4:$B$6</c:f>
              <c:numCache>
                <c:formatCode>General</c:formatCode>
                <c:ptCount val="2"/>
                <c:pt idx="0">
                  <c:v>6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39-45FA-BB09-5C466EE8C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[MutualFundAnalytics_Dashboard.xlsx]AUM Pivot!PivotTable3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AUM by Fund House (2025)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'AUM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'AUM Pivot'!$A$4:$A$14</c:f>
              <c:strCache>
                <c:ptCount val="10"/>
                <c:pt idx="0">
                  <c:v>Aditya Birla Sun Life MF</c:v>
                </c:pt>
                <c:pt idx="1">
                  <c:v>Axis Mutual Fund</c:v>
                </c:pt>
                <c:pt idx="2">
                  <c:v>DSP Mutual Fund</c:v>
                </c:pt>
                <c:pt idx="3">
                  <c:v>HDFC Mutual Fund</c:v>
                </c:pt>
                <c:pt idx="4">
                  <c:v>ICICI Prudential MF</c:v>
                </c:pt>
                <c:pt idx="5">
                  <c:v>Kotak Mahindra MF</c:v>
                </c:pt>
                <c:pt idx="6">
                  <c:v>Mirae Asset MF</c:v>
                </c:pt>
                <c:pt idx="7">
                  <c:v>Nippon India MF</c:v>
                </c:pt>
                <c:pt idx="8">
                  <c:v>SBI Mutual Fund</c:v>
                </c:pt>
                <c:pt idx="9">
                  <c:v>UTI Mutual Fund</c:v>
                </c:pt>
              </c:strCache>
            </c:strRef>
          </c:cat>
          <c:val>
            <c:numRef>
              <c:f>'AUM Pivot'!$B$4:$B$14</c:f>
              <c:numCache>
                <c:formatCode>General</c:formatCode>
                <c:ptCount val="10"/>
                <c:pt idx="0">
                  <c:v>460000</c:v>
                </c:pt>
                <c:pt idx="1">
                  <c:v>350000</c:v>
                </c:pt>
                <c:pt idx="2">
                  <c:v>230000</c:v>
                </c:pt>
                <c:pt idx="3">
                  <c:v>930000</c:v>
                </c:pt>
                <c:pt idx="4">
                  <c:v>1074000</c:v>
                </c:pt>
                <c:pt idx="5">
                  <c:v>580000</c:v>
                </c:pt>
                <c:pt idx="6">
                  <c:v>290000</c:v>
                </c:pt>
                <c:pt idx="7">
                  <c:v>700000</c:v>
                </c:pt>
                <c:pt idx="8">
                  <c:v>1250000</c:v>
                </c:pt>
                <c:pt idx="9">
                  <c:v>410000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7D-4C9F-AE72-C4F0AE0AD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690567"/>
        <c:axId val="930692615"/>
      </c:barChart>
      <c:catAx>
        <c:axId val="930690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692615"/>
        <c:crosses val="autoZero"/>
        <c:auto val="1"/>
        <c:lblAlgn val="ctr"/>
        <c:lblOffset val="100"/>
        <c:noMultiLvlLbl val="0"/>
      </c:catAx>
      <c:valAx>
        <c:axId val="930692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690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 Net Inflows (March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Category_Inflows!$B$134:$B$145</c:f>
              <c:strCache>
                <c:ptCount val="12"/>
                <c:pt idx="0">
                  <c:v>Large Cap</c:v>
                </c:pt>
                <c:pt idx="1">
                  <c:v>Mid Cap</c:v>
                </c:pt>
                <c:pt idx="2">
                  <c:v>Small Cap</c:v>
                </c:pt>
                <c:pt idx="3">
                  <c:v>Flexi Cap</c:v>
                </c:pt>
                <c:pt idx="4">
                  <c:v>Large &amp; Mid Cap</c:v>
                </c:pt>
                <c:pt idx="5">
                  <c:v>ELSS</c:v>
                </c:pt>
                <c:pt idx="6">
                  <c:v>Value/Contra</c:v>
                </c:pt>
                <c:pt idx="7">
                  <c:v>Sectoral/Thematic</c:v>
                </c:pt>
                <c:pt idx="8">
                  <c:v>Liquid</c:v>
                </c:pt>
                <c:pt idx="9">
                  <c:v>Short Duration</c:v>
                </c:pt>
                <c:pt idx="10">
                  <c:v>Gilt</c:v>
                </c:pt>
                <c:pt idx="11">
                  <c:v>Hybrid</c:v>
                </c:pt>
              </c:strCache>
            </c:strRef>
          </c:cat>
          <c:val>
            <c:numRef>
              <c:f>Category_Inflows!$C$134:$C$145</c:f>
              <c:numCache>
                <c:formatCode>General</c:formatCode>
                <c:ptCount val="12"/>
                <c:pt idx="0">
                  <c:v>2234</c:v>
                </c:pt>
                <c:pt idx="1">
                  <c:v>5061</c:v>
                </c:pt>
                <c:pt idx="2">
                  <c:v>4304</c:v>
                </c:pt>
                <c:pt idx="3">
                  <c:v>4767</c:v>
                </c:pt>
                <c:pt idx="4">
                  <c:v>4243</c:v>
                </c:pt>
                <c:pt idx="5">
                  <c:v>500</c:v>
                </c:pt>
                <c:pt idx="6">
                  <c:v>1497</c:v>
                </c:pt>
                <c:pt idx="7">
                  <c:v>8614</c:v>
                </c:pt>
                <c:pt idx="8">
                  <c:v>38681</c:v>
                </c:pt>
                <c:pt idx="9">
                  <c:v>4886</c:v>
                </c:pt>
                <c:pt idx="10">
                  <c:v>956</c:v>
                </c:pt>
                <c:pt idx="11">
                  <c:v>2830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F-4004-8BD3-79756AA80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9535879"/>
        <c:axId val="1139622407"/>
      </c:barChart>
      <c:catAx>
        <c:axId val="1139535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622407"/>
        <c:crosses val="autoZero"/>
        <c:auto val="1"/>
        <c:lblAlgn val="ctr"/>
        <c:lblOffset val="100"/>
        <c:noMultiLvlLbl val="0"/>
      </c:catAx>
      <c:valAx>
        <c:axId val="1139622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535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Schemes by 5-Year Return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'Performance Pivot'!$B$1</c:f>
              <c:strCache>
                <c:ptCount val="1"/>
                <c:pt idx="0">
                  <c:v>return_5yr_pct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'Performance Pivot'!$A$2:$A$11</c:f>
              <c:strCache>
                <c:ptCount val="10"/>
                <c:pt idx="0">
                  <c:v>UTI Nifty 50 Index Fund - Regular - Growth</c:v>
                </c:pt>
                <c:pt idx="1">
                  <c:v>UTI Mid Cap Fund - Regular - Growth</c:v>
                </c:pt>
                <c:pt idx="2">
                  <c:v>UTI Flexi Cap Fund - Regular - Growth</c:v>
                </c:pt>
                <c:pt idx="3">
                  <c:v>SBI Bluechip Fund - Regular Plan - Growth</c:v>
                </c:pt>
                <c:pt idx="4">
                  <c:v>SBI Bluechip Fund - Direct Plan - Growth</c:v>
                </c:pt>
                <c:pt idx="5">
                  <c:v>SBI Small Cap Fund - Regular Plan - Growth</c:v>
                </c:pt>
                <c:pt idx="6">
                  <c:v>SBI Small Cap Fund - Direct Plan - Growth</c:v>
                </c:pt>
                <c:pt idx="7">
                  <c:v>SBI Magnum Gilt Fund - Regular Plan - Growth</c:v>
                </c:pt>
                <c:pt idx="8">
                  <c:v>Nippon India Large Cap Fund - Regular - Growth</c:v>
                </c:pt>
                <c:pt idx="9">
                  <c:v>Nippon India Large Cap Fund - Direct - Growth</c:v>
                </c:pt>
              </c:strCache>
            </c:strRef>
          </c:cat>
          <c:val>
            <c:numRef>
              <c:f>'Performance Pivot'!$B$2:$B$11</c:f>
              <c:numCache>
                <c:formatCode>General</c:formatCode>
                <c:ptCount val="10"/>
                <c:pt idx="0">
                  <c:v>11.31</c:v>
                </c:pt>
                <c:pt idx="1">
                  <c:v>15.86</c:v>
                </c:pt>
                <c:pt idx="2">
                  <c:v>15.78</c:v>
                </c:pt>
                <c:pt idx="3">
                  <c:v>14.45</c:v>
                </c:pt>
                <c:pt idx="4">
                  <c:v>14.23</c:v>
                </c:pt>
                <c:pt idx="5">
                  <c:v>20.67</c:v>
                </c:pt>
                <c:pt idx="6">
                  <c:v>21.82</c:v>
                </c:pt>
                <c:pt idx="7">
                  <c:v>5.43</c:v>
                </c:pt>
                <c:pt idx="8">
                  <c:v>14.7</c:v>
                </c:pt>
                <c:pt idx="9">
                  <c:v>14.72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4D-40A2-B893-EAB72C41EB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30729479"/>
        <c:axId val="1110848519"/>
      </c:barChart>
      <c:catAx>
        <c:axId val="930729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848519"/>
        <c:crosses val="autoZero"/>
        <c:auto val="1"/>
        <c:lblAlgn val="ctr"/>
        <c:lblOffset val="100"/>
        <c:noMultiLvlLbl val="0"/>
      </c:catAx>
      <c:valAx>
        <c:axId val="1110848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729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34</xdr:row>
      <xdr:rowOff>171450</xdr:rowOff>
    </xdr:from>
    <xdr:to>
      <xdr:col>5</xdr:col>
      <xdr:colOff>1095375</xdr:colOff>
      <xdr:row>51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3B499A-D779-48D3-A9CA-17B1D6F7F8DD}"/>
            </a:ext>
            <a:ext uri="{147F2762-F138-4A5C-976F-8EAC2B608ADB}">
              <a16:predDERef xmlns:a16="http://schemas.microsoft.com/office/drawing/2014/main" pred="{84138104-F1D2-4B10-9754-3DF5DBB18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1152525</xdr:colOff>
      <xdr:row>15</xdr:row>
      <xdr:rowOff>38100</xdr:rowOff>
    </xdr:from>
    <xdr:to>
      <xdr:col>2</xdr:col>
      <xdr:colOff>2038350</xdr:colOff>
      <xdr:row>32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99F521D-F097-4819-9D3A-4A5175F192F8}"/>
            </a:ext>
            <a:ext uri="{147F2762-F138-4A5C-976F-8EAC2B608ADB}">
              <a16:predDERef xmlns:a16="http://schemas.microsoft.com/office/drawing/2014/main" pred="{653B499A-D779-48D3-A9CA-17B1D6F7F8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333375</xdr:colOff>
      <xdr:row>15</xdr:row>
      <xdr:rowOff>47625</xdr:rowOff>
    </xdr:from>
    <xdr:to>
      <xdr:col>5</xdr:col>
      <xdr:colOff>1095375</xdr:colOff>
      <xdr:row>32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B9642B5-988C-4D6B-8F6C-CAB66B3BBD69}"/>
            </a:ext>
            <a:ext uri="{147F2762-F138-4A5C-976F-8EAC2B608ADB}">
              <a16:predDERef xmlns:a16="http://schemas.microsoft.com/office/drawing/2014/main" pred="{F99F521D-F097-4819-9D3A-4A5175F192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1152525</xdr:colOff>
      <xdr:row>34</xdr:row>
      <xdr:rowOff>171450</xdr:rowOff>
    </xdr:from>
    <xdr:to>
      <xdr:col>2</xdr:col>
      <xdr:colOff>2028825</xdr:colOff>
      <xdr:row>51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5831BA6-7007-4FBB-A66A-F54A901CDA74}"/>
            </a:ext>
            <a:ext uri="{147F2762-F138-4A5C-976F-8EAC2B608ADB}">
              <a16:predDERef xmlns:a16="http://schemas.microsoft.com/office/drawing/2014/main" pred="{AB9642B5-988C-4D6B-8F6C-CAB66B3BB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1152525</xdr:colOff>
      <xdr:row>52</xdr:row>
      <xdr:rowOff>180975</xdr:rowOff>
    </xdr:from>
    <xdr:to>
      <xdr:col>2</xdr:col>
      <xdr:colOff>2047875</xdr:colOff>
      <xdr:row>71</xdr:row>
      <xdr:rowOff>142875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99D01BC-9994-420E-BBEB-4DB12BAF778E}"/>
            </a:ext>
            <a:ext uri="{147F2762-F138-4A5C-976F-8EAC2B608ADB}">
              <a16:predDERef xmlns:a16="http://schemas.microsoft.com/office/drawing/2014/main" pred="{F5831BA6-7007-4FBB-A66A-F54A901CDA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333375</xdr:colOff>
      <xdr:row>53</xdr:row>
      <xdr:rowOff>19050</xdr:rowOff>
    </xdr:from>
    <xdr:to>
      <xdr:col>5</xdr:col>
      <xdr:colOff>1143000</xdr:colOff>
      <xdr:row>71</xdr:row>
      <xdr:rowOff>161925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27871B2-4B67-41F2-8A91-79D67AAA2750}"/>
            </a:ext>
            <a:ext uri="{147F2762-F138-4A5C-976F-8EAC2B608ADB}">
              <a16:predDERef xmlns:a16="http://schemas.microsoft.com/office/drawing/2014/main" pred="{D99D01BC-9994-420E-BBEB-4DB12BAF7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3.562281481485" createdVersion="8" refreshedVersion="8" minRefreshableVersion="3" recordCount="40" xr:uid="{2880D975-648B-451D-8BEF-E67692F4F757}">
  <cacheSource type="worksheet">
    <worksheetSource ref="A1:O41" sheet="Fund_Master"/>
  </cacheSource>
  <cacheFields count="15">
    <cacheField name="amfi_code" numFmtId="0">
      <sharedItems containsSemiMixedTypes="0" containsString="0" containsNumber="1" containsInteger="1" minValue="100016" maxValue="149324"/>
    </cacheField>
    <cacheField name="fund_house" numFmtId="0">
      <sharedItems count="10">
        <s v="SBI Mutual Fund"/>
        <s v="HDFC Mutual Fund"/>
        <s v="ICICI Prudential MF"/>
        <s v="Nippon India MF"/>
        <s v="Kotak Mahindra MF"/>
        <s v="Axis Mutual Fund"/>
        <s v="Aditya Birla Sun Life MF"/>
        <s v="UTI Mutual Fund"/>
        <s v="Mirae Asset MF"/>
        <s v="DSP Mutual Fund"/>
      </sharedItems>
    </cacheField>
    <cacheField name="scheme_name" numFmtId="0">
      <sharedItems/>
    </cacheField>
    <cacheField name="category" numFmtId="0">
      <sharedItems count="2">
        <s v="Equity"/>
        <s v="Debt"/>
      </sharedItems>
    </cacheField>
    <cacheField name="sub_category" numFmtId="0">
      <sharedItems/>
    </cacheField>
    <cacheField name="plan" numFmtId="0">
      <sharedItems/>
    </cacheField>
    <cacheField name="launch_date" numFmtId="14">
      <sharedItems containsSemiMixedTypes="0" containsNonDate="0" containsDate="1" containsString="0" minDate="1996-09-11T00:00:00" maxDate="2015-12-29T00:00:00"/>
    </cacheField>
    <cacheField name="benchmark" numFmtId="0">
      <sharedItems/>
    </cacheField>
    <cacheField name="expense_ratio_pct" numFmtId="0">
      <sharedItems containsSemiMixedTypes="0" containsString="0" containsNumber="1" minValue="0.55000000000000004" maxValue="1.64"/>
    </cacheField>
    <cacheField name="exit_load_pct" numFmtId="0">
      <sharedItems containsSemiMixedTypes="0" containsString="0" containsNumber="1" minValue="0" maxValue="1"/>
    </cacheField>
    <cacheField name="min_sip_amount" numFmtId="0">
      <sharedItems containsSemiMixedTypes="0" containsString="0" containsNumber="1" containsInteger="1" minValue="500" maxValue="500"/>
    </cacheField>
    <cacheField name="min_lumpsum_amount" numFmtId="0">
      <sharedItems containsSemiMixedTypes="0" containsString="0" containsNumber="1" containsInteger="1" minValue="100" maxValue="5000"/>
    </cacheField>
    <cacheField name="fund_manager" numFmtId="0">
      <sharedItems/>
    </cacheField>
    <cacheField name="risk_category" numFmtId="0">
      <sharedItems/>
    </cacheField>
    <cacheField name="sebi_category_c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3.577097453701" createdVersion="8" refreshedVersion="8" minRefreshableVersion="3" recordCount="90" xr:uid="{84120A8A-4515-493C-AFB6-DF9C967C6921}">
  <cacheSource type="worksheet">
    <worksheetSource ref="A1:E91" sheet="AUM"/>
  </cacheSource>
  <cacheFields count="5">
    <cacheField name="date" numFmtId="14">
      <sharedItems containsSemiMixedTypes="0" containsNonDate="0" containsDate="1" containsString="0" minDate="2022-03-31T00:00:00" maxDate="2026-01-01T00:00:00" count="9">
        <d v="2022-03-31T00:00:00"/>
        <d v="2022-09-30T00:00:00"/>
        <d v="2023-03-31T00:00:00"/>
        <d v="2023-09-30T00:00:00"/>
        <d v="2024-03-31T00:00:00"/>
        <d v="2024-09-30T00:00:00"/>
        <d v="2024-12-31T00:00:00"/>
        <d v="2025-03-31T00:00:00"/>
        <d v="2025-12-31T00:00:00"/>
      </sharedItems>
    </cacheField>
    <cacheField name="fund_house" numFmtId="0">
      <sharedItems count="10">
        <s v="SBI Mutual Fund"/>
        <s v="ICICI Prudential MF"/>
        <s v="HDFC Mutual Fund"/>
        <s v="Nippon India MF"/>
        <s v="Kotak Mahindra MF"/>
        <s v="Aditya Birla Sun Life MF"/>
        <s v="Axis Mutual Fund"/>
        <s v="UTI Mutual Fund"/>
        <s v="Mirae Asset MF"/>
        <s v="DSP Mutual Fund"/>
      </sharedItems>
    </cacheField>
    <cacheField name="aum_lakh_crore" numFmtId="0">
      <sharedItems containsSemiMixedTypes="0" containsString="0" containsNumber="1" minValue="1.05" maxValue="12.5"/>
    </cacheField>
    <cacheField name="aum_crore" numFmtId="0">
      <sharedItems containsSemiMixedTypes="0" containsString="0" containsNumber="1" containsInteger="1" minValue="105000" maxValue="1250000"/>
    </cacheField>
    <cacheField name="num_schemes" numFmtId="0">
      <sharedItems containsSemiMixedTypes="0" containsString="0" containsNumber="1" containsInteger="1" minValue="56" maxValue="2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19551"/>
    <x v="0"/>
    <s v="SBI Bluechip Fund - Regular Plan - Growth"/>
    <x v="0"/>
    <s v="Large Cap"/>
    <s v="Regular"/>
    <d v="2006-02-14T00:00:00"/>
    <s v="NIFTY 100 TRI"/>
    <n v="1.54"/>
    <n v="1"/>
    <n v="500"/>
    <n v="1000"/>
    <s v="Sohini Andani"/>
    <s v="Moderate"/>
    <s v="EC01"/>
  </r>
  <r>
    <n v="119552"/>
    <x v="0"/>
    <s v="SBI Bluechip Fund - Direct Plan - Growth"/>
    <x v="0"/>
    <s v="Large Cap"/>
    <s v="Direct"/>
    <d v="2013-01-01T00:00:00"/>
    <s v="NIFTY 100 TRI"/>
    <n v="0.66"/>
    <n v="1"/>
    <n v="500"/>
    <n v="1000"/>
    <s v="Sohini Andani"/>
    <s v="Moderate"/>
    <s v="EC01"/>
  </r>
  <r>
    <n v="119598"/>
    <x v="0"/>
    <s v="SBI Small Cap Fund - Regular Plan - Growth"/>
    <x v="0"/>
    <s v="Small Cap"/>
    <s v="Regular"/>
    <d v="2009-09-09T00:00:00"/>
    <s v="BSE 250 SmallCap TRI"/>
    <n v="1.43"/>
    <n v="1"/>
    <n v="500"/>
    <n v="1000"/>
    <s v="R. Srinivasan"/>
    <s v="Very High"/>
    <s v="EC03"/>
  </r>
  <r>
    <n v="119599"/>
    <x v="0"/>
    <s v="SBI Small Cap Fund - Direct Plan - Growth"/>
    <x v="0"/>
    <s v="Small Cap"/>
    <s v="Direct"/>
    <d v="2013-01-01T00:00:00"/>
    <s v="BSE 250 SmallCap TRI"/>
    <n v="0.72"/>
    <n v="1"/>
    <n v="500"/>
    <n v="1000"/>
    <s v="R. Srinivasan"/>
    <s v="Very High"/>
    <s v="EC03"/>
  </r>
  <r>
    <n v="119120"/>
    <x v="0"/>
    <s v="SBI Magnum Gilt Fund - Regular Plan - Growth"/>
    <x v="1"/>
    <s v="Gilt"/>
    <s v="Regular"/>
    <d v="2000-12-30T00:00:00"/>
    <s v="CRISIL Dynamic Gilt Index"/>
    <n v="0.77"/>
    <n v="0"/>
    <n v="500"/>
    <n v="1000"/>
    <s v="Dinesh Ahuja"/>
    <s v="Low"/>
    <s v="DC02"/>
  </r>
  <r>
    <n v="100016"/>
    <x v="1"/>
    <s v="HDFC Top 100 Fund - Regular Plan - Growth"/>
    <x v="0"/>
    <s v="Large Cap"/>
    <s v="Regular"/>
    <d v="1996-09-11T00:00:00"/>
    <s v="NIFTY 100 TRI"/>
    <n v="1.55"/>
    <n v="1"/>
    <n v="500"/>
    <n v="1000"/>
    <s v="Rahul Baijal"/>
    <s v="Moderate"/>
    <s v="EC01"/>
  </r>
  <r>
    <n v="125497"/>
    <x v="1"/>
    <s v="HDFC Top 100 Fund - Direct Plan - Growth"/>
    <x v="0"/>
    <s v="Large Cap"/>
    <s v="Direct"/>
    <d v="2013-01-01T00:00:00"/>
    <s v="NIFTY 100 TRI"/>
    <n v="0.92"/>
    <n v="1"/>
    <n v="500"/>
    <n v="1000"/>
    <s v="Rahul Baijal"/>
    <s v="Moderate"/>
    <s v="EC01"/>
  </r>
  <r>
    <n v="100033"/>
    <x v="1"/>
    <s v="HDFC Mid-Cap Opportunities Fund - Regular - Growth"/>
    <x v="0"/>
    <s v="Mid Cap"/>
    <s v="Regular"/>
    <d v="2007-06-25T00:00:00"/>
    <s v="NIFTY Midcap 150 TRI"/>
    <n v="1.38"/>
    <n v="1"/>
    <n v="500"/>
    <n v="1000"/>
    <s v="Chirag Setalvad"/>
    <s v="High"/>
    <s v="EC02"/>
  </r>
  <r>
    <n v="125498"/>
    <x v="1"/>
    <s v="HDFC Mid-Cap Opportunities Fund - Direct - Growth"/>
    <x v="0"/>
    <s v="Mid Cap"/>
    <s v="Direct"/>
    <d v="2013-01-01T00:00:00"/>
    <s v="NIFTY Midcap 150 TRI"/>
    <n v="0.78"/>
    <n v="1"/>
    <n v="500"/>
    <n v="1000"/>
    <s v="Chirag Setalvad"/>
    <s v="High"/>
    <s v="EC02"/>
  </r>
  <r>
    <n v="100025"/>
    <x v="1"/>
    <s v="HDFC Short Term Debt Fund - Regular - Growth"/>
    <x v="1"/>
    <s v="Short Duration"/>
    <s v="Regular"/>
    <d v="2002-06-25T00:00:00"/>
    <s v="CRISIL Short Term Bond Index"/>
    <n v="0.56000000000000005"/>
    <n v="0.5"/>
    <n v="500"/>
    <n v="1000"/>
    <s v="Anil Bamboli"/>
    <s v="Low"/>
    <s v="DC02"/>
  </r>
  <r>
    <n v="120503"/>
    <x v="2"/>
    <s v="ICICI Pru Bluechip Fund - Regular - Growth"/>
    <x v="0"/>
    <s v="Large Cap"/>
    <s v="Regular"/>
    <d v="2008-05-23T00:00:00"/>
    <s v="NIFTY 100 TRI"/>
    <n v="1.42"/>
    <n v="1"/>
    <n v="500"/>
    <n v="1000"/>
    <s v="Anish Tawakley"/>
    <s v="Moderate"/>
    <s v="EC01"/>
  </r>
  <r>
    <n v="120504"/>
    <x v="2"/>
    <s v="ICICI Pru Bluechip Fund - Direct - Growth"/>
    <x v="0"/>
    <s v="Large Cap"/>
    <s v="Direct"/>
    <d v="2013-01-01T00:00:00"/>
    <s v="NIFTY 100 TRI"/>
    <n v="0.8"/>
    <n v="1"/>
    <n v="500"/>
    <n v="1000"/>
    <s v="Anish Tawakley"/>
    <s v="Moderate"/>
    <s v="EC01"/>
  </r>
  <r>
    <n v="120505"/>
    <x v="2"/>
    <s v="ICICI Pru Midcap Fund - Regular - Growth"/>
    <x v="0"/>
    <s v="Mid Cap"/>
    <s v="Regular"/>
    <d v="2004-10-28T00:00:00"/>
    <s v="NIFTY Midcap 150 TRI"/>
    <n v="1.36"/>
    <n v="1"/>
    <n v="500"/>
    <n v="1000"/>
    <s v="Sankaran Naren"/>
    <s v="High"/>
    <s v="EC02"/>
  </r>
  <r>
    <n v="120506"/>
    <x v="2"/>
    <s v="ICICI Pru Value Discovery Fund - Regular - Growth"/>
    <x v="0"/>
    <s v="Value"/>
    <s v="Regular"/>
    <d v="2004-08-16T00:00:00"/>
    <s v="NIFTY 500 TRI"/>
    <n v="1.41"/>
    <n v="1"/>
    <n v="500"/>
    <n v="1000"/>
    <s v="Sankaran Naren"/>
    <s v="Moderately High"/>
    <s v="EC06"/>
  </r>
  <r>
    <n v="120507"/>
    <x v="2"/>
    <s v="ICICI Pru Liquid Fund - Regular - Growth"/>
    <x v="1"/>
    <s v="Liquid"/>
    <s v="Regular"/>
    <d v="2001-11-17T00:00:00"/>
    <s v="CRISIL Liquid Fund AI Index"/>
    <n v="0.74"/>
    <n v="0"/>
    <n v="500"/>
    <n v="5000"/>
    <s v="Rahul Goswami"/>
    <s v="Low"/>
    <s v="DC01"/>
  </r>
  <r>
    <n v="118632"/>
    <x v="3"/>
    <s v="Nippon India Large Cap Fund - Regular - Growth"/>
    <x v="0"/>
    <s v="Large Cap"/>
    <s v="Regular"/>
    <d v="2004-08-08T00:00:00"/>
    <s v="NIFTY 100 TRI"/>
    <n v="1.51"/>
    <n v="1"/>
    <n v="500"/>
    <n v="1000"/>
    <s v="Sailesh Raj Bhan"/>
    <s v="Moderate"/>
    <s v="EC01"/>
  </r>
  <r>
    <n v="118633"/>
    <x v="3"/>
    <s v="Nippon India Large Cap Fund - Direct - Growth"/>
    <x v="0"/>
    <s v="Large Cap"/>
    <s v="Direct"/>
    <d v="2013-01-01T00:00:00"/>
    <s v="NIFTY 100 TRI"/>
    <n v="0.72"/>
    <n v="1"/>
    <n v="500"/>
    <n v="1000"/>
    <s v="Sailesh Raj Bhan"/>
    <s v="Moderate"/>
    <s v="EC01"/>
  </r>
  <r>
    <n v="118634"/>
    <x v="3"/>
    <s v="Nippon India Small Cap Fund - Regular - Growth"/>
    <x v="0"/>
    <s v="Small Cap"/>
    <s v="Regular"/>
    <d v="2010-09-16T00:00:00"/>
    <s v="BSE 250 SmallCap TRI"/>
    <n v="1.53"/>
    <n v="1"/>
    <n v="500"/>
    <n v="1000"/>
    <s v="Samir Rachh"/>
    <s v="Very High"/>
    <s v="EC03"/>
  </r>
  <r>
    <n v="118635"/>
    <x v="3"/>
    <s v="Nippon India ETF Nifty 50 BeES"/>
    <x v="0"/>
    <s v="Index/ETF"/>
    <s v="Direct"/>
    <d v="2001-12-28T00:00:00"/>
    <s v="NIFTY 50 TRI"/>
    <n v="0.89"/>
    <n v="0"/>
    <n v="500"/>
    <n v="100"/>
    <s v="Vishal Jain"/>
    <s v="Moderate"/>
    <s v="EI01"/>
  </r>
  <r>
    <n v="118636"/>
    <x v="3"/>
    <s v="Nippon India Gilt Securities Fund - Regular - Growth"/>
    <x v="1"/>
    <s v="Gilt"/>
    <s v="Regular"/>
    <d v="1999-08-19T00:00:00"/>
    <s v="CRISIL Dynamic Gilt Index"/>
    <n v="0.55000000000000004"/>
    <n v="0"/>
    <n v="500"/>
    <n v="1000"/>
    <s v="Vivek Sharma"/>
    <s v="Low"/>
    <s v="DC02"/>
  </r>
  <r>
    <n v="120841"/>
    <x v="4"/>
    <s v="Kotak Bluechip Fund - Regular - Growth"/>
    <x v="0"/>
    <s v="Large Cap"/>
    <s v="Regular"/>
    <d v="2005-12-29T00:00:00"/>
    <s v="NIFTY 100 TRI"/>
    <n v="1.59"/>
    <n v="1"/>
    <n v="500"/>
    <n v="1000"/>
    <s v="Harsha Upadhyaya"/>
    <s v="Moderate"/>
    <s v="EC01"/>
  </r>
  <r>
    <n v="120842"/>
    <x v="4"/>
    <s v="Kotak Emerging Equity Fund - Regular - Growth"/>
    <x v="0"/>
    <s v="Mid Cap"/>
    <s v="Regular"/>
    <d v="2007-03-30T00:00:00"/>
    <s v="NIFTY Midcap 150 TRI"/>
    <n v="1.56"/>
    <n v="1"/>
    <n v="500"/>
    <n v="1000"/>
    <s v="Pankaj Tibrewal"/>
    <s v="High"/>
    <s v="EC02"/>
  </r>
  <r>
    <n v="120843"/>
    <x v="4"/>
    <s v="Kotak Flexicap Fund - Regular - Growth"/>
    <x v="0"/>
    <s v="Flexi Cap"/>
    <s v="Regular"/>
    <d v="2009-08-11T00:00:00"/>
    <s v="NIFTY 500 TRI"/>
    <n v="1.45"/>
    <n v="1"/>
    <n v="500"/>
    <n v="1000"/>
    <s v="Pankaj Tibrewal"/>
    <s v="Moderately High"/>
    <s v="EC04"/>
  </r>
  <r>
    <n v="120844"/>
    <x v="4"/>
    <s v="Kotak Liquid Fund - Regular - Growth"/>
    <x v="1"/>
    <s v="Liquid"/>
    <s v="Regular"/>
    <d v="2004-03-03T00:00:00"/>
    <s v="CRISIL Liquid Fund AI Index"/>
    <n v="0.6"/>
    <n v="0"/>
    <n v="500"/>
    <n v="5000"/>
    <s v="Deepak Agrawal"/>
    <s v="Low"/>
    <s v="DC01"/>
  </r>
  <r>
    <n v="119092"/>
    <x v="5"/>
    <s v="Axis Bluechip Fund - Regular - Growth"/>
    <x v="0"/>
    <s v="Large Cap"/>
    <s v="Regular"/>
    <d v="2010-01-05T00:00:00"/>
    <s v="NIFTY 100 TRI"/>
    <n v="1.64"/>
    <n v="1"/>
    <n v="500"/>
    <n v="1000"/>
    <s v="Shreyash Devalkar"/>
    <s v="Moderate"/>
    <s v="EC01"/>
  </r>
  <r>
    <n v="119093"/>
    <x v="5"/>
    <s v="Axis Bluechip Fund - Direct - Growth"/>
    <x v="0"/>
    <s v="Large Cap"/>
    <s v="Direct"/>
    <d v="2013-01-01T00:00:00"/>
    <s v="NIFTY 100 TRI"/>
    <n v="0.75"/>
    <n v="1"/>
    <n v="500"/>
    <n v="1000"/>
    <s v="Shreyash Devalkar"/>
    <s v="Moderate"/>
    <s v="EC01"/>
  </r>
  <r>
    <n v="119094"/>
    <x v="5"/>
    <s v="Axis Midcap Fund - Regular - Growth"/>
    <x v="0"/>
    <s v="Mid Cap"/>
    <s v="Regular"/>
    <d v="2011-02-18T00:00:00"/>
    <s v="NIFTY Midcap 50 TRI"/>
    <n v="1.38"/>
    <n v="1"/>
    <n v="500"/>
    <n v="1000"/>
    <s v="Jinesh Gopani"/>
    <s v="High"/>
    <s v="EC02"/>
  </r>
  <r>
    <n v="119095"/>
    <x v="5"/>
    <s v="Axis Small Cap Fund - Regular - Growth"/>
    <x v="0"/>
    <s v="Small Cap"/>
    <s v="Regular"/>
    <d v="2013-11-29T00:00:00"/>
    <s v="BSE 250 SmallCap TRI"/>
    <n v="1.38"/>
    <n v="1"/>
    <n v="500"/>
    <n v="1000"/>
    <s v="Anupam Tiwari"/>
    <s v="Very High"/>
    <s v="EC03"/>
  </r>
  <r>
    <n v="101206"/>
    <x v="6"/>
    <s v="ABSL Frontline Equity Fund - Regular - Growth"/>
    <x v="0"/>
    <s v="Large Cap"/>
    <s v="Regular"/>
    <d v="2002-08-30T00:00:00"/>
    <s v="NIFTY 100 TRI"/>
    <n v="1.6"/>
    <n v="1"/>
    <n v="500"/>
    <n v="1000"/>
    <s v="Mahesh Patil"/>
    <s v="Moderate"/>
    <s v="EC01"/>
  </r>
  <r>
    <n v="101207"/>
    <x v="6"/>
    <s v="ABSL Small Cap Fund - Regular - Growth"/>
    <x v="0"/>
    <s v="Small Cap"/>
    <s v="Regular"/>
    <d v="2007-05-31T00:00:00"/>
    <s v="BSE 250 SmallCap TRI"/>
    <n v="1.53"/>
    <n v="1"/>
    <n v="500"/>
    <n v="1000"/>
    <s v="Mircea Ciobanu"/>
    <s v="Very High"/>
    <s v="EC03"/>
  </r>
  <r>
    <n v="101208"/>
    <x v="6"/>
    <s v="ABSL Liquid Fund - Regular - Growth"/>
    <x v="1"/>
    <s v="Liquid"/>
    <s v="Regular"/>
    <d v="2000-04-17T00:00:00"/>
    <s v="CRISIL Liquid Fund AI Index"/>
    <n v="0.79"/>
    <n v="0"/>
    <n v="500"/>
    <n v="5000"/>
    <s v="Maneesh Dangi"/>
    <s v="Low"/>
    <s v="DC01"/>
  </r>
  <r>
    <n v="102885"/>
    <x v="7"/>
    <s v="UTI Nifty 50 Index Fund - Regular - Growth"/>
    <x v="0"/>
    <s v="Index"/>
    <s v="Regular"/>
    <d v="2000-03-06T00:00:00"/>
    <s v="NIFTY 50 TRI"/>
    <n v="1.57"/>
    <n v="0"/>
    <n v="500"/>
    <n v="1000"/>
    <s v="Sharwan Kumar Goyal"/>
    <s v="Moderate"/>
    <s v="EI01"/>
  </r>
  <r>
    <n v="102886"/>
    <x v="7"/>
    <s v="UTI Mid Cap Fund - Regular - Growth"/>
    <x v="0"/>
    <s v="Mid Cap"/>
    <s v="Regular"/>
    <d v="2004-04-07T00:00:00"/>
    <s v="NIFTY Midcap 150 TRI"/>
    <n v="1.51"/>
    <n v="1"/>
    <n v="500"/>
    <n v="1000"/>
    <s v="V Srivatsa"/>
    <s v="High"/>
    <s v="EC02"/>
  </r>
  <r>
    <n v="102887"/>
    <x v="7"/>
    <s v="UTI Flexi Cap Fund - Regular - Growth"/>
    <x v="0"/>
    <s v="Flexi Cap"/>
    <s v="Regular"/>
    <d v="2005-05-18T00:00:00"/>
    <s v="NIFTY 500 TRI"/>
    <n v="1.64"/>
    <n v="1"/>
    <n v="500"/>
    <n v="1000"/>
    <s v="Ajay Tyagi"/>
    <s v="Moderately High"/>
    <s v="EC04"/>
  </r>
  <r>
    <n v="148567"/>
    <x v="8"/>
    <s v="Mirae Asset Large Cap Fund - Regular - Growth"/>
    <x v="0"/>
    <s v="Large Cap"/>
    <s v="Regular"/>
    <d v="2008-04-04T00:00:00"/>
    <s v="NIFTY 100 TRI"/>
    <n v="1.46"/>
    <n v="1"/>
    <n v="500"/>
    <n v="1000"/>
    <s v="Gaurav Misra"/>
    <s v="Moderate"/>
    <s v="EC01"/>
  </r>
  <r>
    <n v="148568"/>
    <x v="8"/>
    <s v="Mirae Asset Emerging Bluechip Fund - Regular - Growth"/>
    <x v="0"/>
    <s v="Large &amp; Mid Cap"/>
    <s v="Regular"/>
    <d v="2010-07-09T00:00:00"/>
    <s v="NIFTY Large Midcap 250 TRI"/>
    <n v="1.52"/>
    <n v="1"/>
    <n v="500"/>
    <n v="1000"/>
    <s v="Neelesh Surana"/>
    <s v="Moderately High"/>
    <s v="EC04"/>
  </r>
  <r>
    <n v="148569"/>
    <x v="8"/>
    <s v="Mirae Asset Tax Saver Fund - Regular - Growth"/>
    <x v="0"/>
    <s v="ELSS"/>
    <s v="Regular"/>
    <d v="2015-12-28T00:00:00"/>
    <s v="NIFTY 500 TRI"/>
    <n v="1.6"/>
    <n v="1"/>
    <n v="500"/>
    <n v="1000"/>
    <s v="Neelesh Surana"/>
    <s v="High"/>
    <s v="EC05"/>
  </r>
  <r>
    <n v="149322"/>
    <x v="9"/>
    <s v="DSP Top 100 Equity Fund - Regular - Growth"/>
    <x v="0"/>
    <s v="Large Cap"/>
    <s v="Regular"/>
    <d v="2003-03-10T00:00:00"/>
    <s v="NIFTY 100 TRI"/>
    <n v="1.54"/>
    <n v="1"/>
    <n v="500"/>
    <n v="1000"/>
    <s v="Apoorva Shah"/>
    <s v="Moderate"/>
    <s v="EC01"/>
  </r>
  <r>
    <n v="149323"/>
    <x v="9"/>
    <s v="DSP Midcap Fund - Regular - Growth"/>
    <x v="0"/>
    <s v="Mid Cap"/>
    <s v="Regular"/>
    <d v="2006-11-16T00:00:00"/>
    <s v="NIFTY Midcap 150 TRI"/>
    <n v="1.61"/>
    <n v="1"/>
    <n v="500"/>
    <n v="1000"/>
    <s v="Vinit Sambre"/>
    <s v="High"/>
    <s v="EC02"/>
  </r>
  <r>
    <n v="149324"/>
    <x v="9"/>
    <s v="DSP Small Cap Fund - Regular - Growth"/>
    <x v="0"/>
    <s v="Small Cap"/>
    <s v="Regular"/>
    <d v="2007-06-14T00:00:00"/>
    <s v="BSE 250 SmallCap TRI"/>
    <n v="1.52"/>
    <n v="1"/>
    <n v="500"/>
    <n v="1000"/>
    <s v="Vinit Sambre"/>
    <s v="Very High"/>
    <s v="EC0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n v="6.05"/>
    <n v="605000"/>
    <n v="186"/>
  </r>
  <r>
    <x v="0"/>
    <x v="1"/>
    <n v="4.6500000000000004"/>
    <n v="465000"/>
    <n v="216"/>
  </r>
  <r>
    <x v="0"/>
    <x v="2"/>
    <n v="4.3499999999999996"/>
    <n v="435000"/>
    <n v="195"/>
  </r>
  <r>
    <x v="0"/>
    <x v="3"/>
    <n v="2.7"/>
    <n v="270000"/>
    <n v="177"/>
  </r>
  <r>
    <x v="0"/>
    <x v="4"/>
    <n v="2.7"/>
    <n v="270000"/>
    <n v="168"/>
  </r>
  <r>
    <x v="0"/>
    <x v="5"/>
    <n v="2.78"/>
    <n v="278000"/>
    <n v="199"/>
  </r>
  <r>
    <x v="0"/>
    <x v="6"/>
    <n v="2.5"/>
    <n v="250000"/>
    <n v="95"/>
  </r>
  <r>
    <x v="0"/>
    <x v="7"/>
    <n v="2.2999999999999998"/>
    <n v="230000"/>
    <n v="142"/>
  </r>
  <r>
    <x v="0"/>
    <x v="8"/>
    <n v="1.05"/>
    <n v="105000"/>
    <n v="56"/>
  </r>
  <r>
    <x v="0"/>
    <x v="9"/>
    <n v="1.1000000000000001"/>
    <n v="110000"/>
    <n v="88"/>
  </r>
  <r>
    <x v="1"/>
    <x v="0"/>
    <n v="6.3"/>
    <n v="630000"/>
    <n v="186"/>
  </r>
  <r>
    <x v="1"/>
    <x v="1"/>
    <n v="4.88"/>
    <n v="488000"/>
    <n v="216"/>
  </r>
  <r>
    <x v="1"/>
    <x v="2"/>
    <n v="4.45"/>
    <n v="445000"/>
    <n v="195"/>
  </r>
  <r>
    <x v="1"/>
    <x v="3"/>
    <n v="2.78"/>
    <n v="278000"/>
    <n v="177"/>
  </r>
  <r>
    <x v="1"/>
    <x v="4"/>
    <n v="2.72"/>
    <n v="272000"/>
    <n v="168"/>
  </r>
  <r>
    <x v="1"/>
    <x v="5"/>
    <n v="2.85"/>
    <n v="285000"/>
    <n v="199"/>
  </r>
  <r>
    <x v="1"/>
    <x v="6"/>
    <n v="2.4"/>
    <n v="240000"/>
    <n v="95"/>
  </r>
  <r>
    <x v="1"/>
    <x v="7"/>
    <n v="2.3199999999999998"/>
    <n v="232000"/>
    <n v="142"/>
  </r>
  <r>
    <x v="1"/>
    <x v="8"/>
    <n v="1.08"/>
    <n v="108000"/>
    <n v="56"/>
  </r>
  <r>
    <x v="1"/>
    <x v="9"/>
    <n v="1.1200000000000001"/>
    <n v="112000"/>
    <n v="88"/>
  </r>
  <r>
    <x v="2"/>
    <x v="0"/>
    <n v="7.17"/>
    <n v="717000"/>
    <n v="186"/>
  </r>
  <r>
    <x v="2"/>
    <x v="1"/>
    <n v="5"/>
    <n v="500000"/>
    <n v="216"/>
  </r>
  <r>
    <x v="2"/>
    <x v="2"/>
    <n v="4.5"/>
    <n v="450000"/>
    <n v="195"/>
  </r>
  <r>
    <x v="2"/>
    <x v="3"/>
    <n v="2.93"/>
    <n v="293000"/>
    <n v="177"/>
  </r>
  <r>
    <x v="2"/>
    <x v="4"/>
    <n v="2.89"/>
    <n v="289000"/>
    <n v="168"/>
  </r>
  <r>
    <x v="2"/>
    <x v="5"/>
    <n v="2.75"/>
    <n v="275000"/>
    <n v="199"/>
  </r>
  <r>
    <x v="2"/>
    <x v="6"/>
    <n v="2.41"/>
    <n v="241000"/>
    <n v="95"/>
  </r>
  <r>
    <x v="2"/>
    <x v="7"/>
    <n v="2.39"/>
    <n v="239000"/>
    <n v="142"/>
  </r>
  <r>
    <x v="2"/>
    <x v="8"/>
    <n v="1.1599999999999999"/>
    <n v="116000"/>
    <n v="56"/>
  </r>
  <r>
    <x v="2"/>
    <x v="9"/>
    <n v="1.1499999999999999"/>
    <n v="115000"/>
    <n v="88"/>
  </r>
  <r>
    <x v="3"/>
    <x v="0"/>
    <n v="8.4499999999999993"/>
    <n v="845000"/>
    <n v="186"/>
  </r>
  <r>
    <x v="3"/>
    <x v="1"/>
    <n v="5.9"/>
    <n v="590000"/>
    <n v="216"/>
  </r>
  <r>
    <x v="3"/>
    <x v="2"/>
    <n v="5.35"/>
    <n v="535000"/>
    <n v="195"/>
  </r>
  <r>
    <x v="3"/>
    <x v="3"/>
    <n v="3.4"/>
    <n v="340000"/>
    <n v="177"/>
  </r>
  <r>
    <x v="3"/>
    <x v="4"/>
    <n v="3.25"/>
    <n v="325000"/>
    <n v="168"/>
  </r>
  <r>
    <x v="3"/>
    <x v="5"/>
    <n v="3.08"/>
    <n v="308000"/>
    <n v="199"/>
  </r>
  <r>
    <x v="3"/>
    <x v="6"/>
    <n v="2.6"/>
    <n v="260000"/>
    <n v="95"/>
  </r>
  <r>
    <x v="3"/>
    <x v="7"/>
    <n v="2.65"/>
    <n v="265000"/>
    <n v="142"/>
  </r>
  <r>
    <x v="3"/>
    <x v="8"/>
    <n v="1.42"/>
    <n v="142000"/>
    <n v="56"/>
  </r>
  <r>
    <x v="3"/>
    <x v="9"/>
    <n v="1.32"/>
    <n v="132000"/>
    <n v="88"/>
  </r>
  <r>
    <x v="4"/>
    <x v="0"/>
    <n v="10"/>
    <n v="1000000"/>
    <n v="186"/>
  </r>
  <r>
    <x v="4"/>
    <x v="1"/>
    <n v="6.8"/>
    <n v="680000"/>
    <n v="216"/>
  </r>
  <r>
    <x v="4"/>
    <x v="2"/>
    <n v="6.45"/>
    <n v="645000"/>
    <n v="195"/>
  </r>
  <r>
    <x v="4"/>
    <x v="3"/>
    <n v="4.3"/>
    <n v="430000"/>
    <n v="177"/>
  </r>
  <r>
    <x v="4"/>
    <x v="4"/>
    <n v="3.8"/>
    <n v="380000"/>
    <n v="168"/>
  </r>
  <r>
    <x v="4"/>
    <x v="5"/>
    <n v="3.4"/>
    <n v="340000"/>
    <n v="199"/>
  </r>
  <r>
    <x v="4"/>
    <x v="6"/>
    <n v="2.8"/>
    <n v="280000"/>
    <n v="95"/>
  </r>
  <r>
    <x v="4"/>
    <x v="7"/>
    <n v="2.9"/>
    <n v="290000"/>
    <n v="142"/>
  </r>
  <r>
    <x v="4"/>
    <x v="8"/>
    <n v="1.75"/>
    <n v="175000"/>
    <n v="56"/>
  </r>
  <r>
    <x v="4"/>
    <x v="9"/>
    <n v="1.55"/>
    <n v="155000"/>
    <n v="88"/>
  </r>
  <r>
    <x v="5"/>
    <x v="0"/>
    <n v="10.8"/>
    <n v="1080000"/>
    <n v="186"/>
  </r>
  <r>
    <x v="5"/>
    <x v="1"/>
    <n v="7.42"/>
    <n v="742000"/>
    <n v="216"/>
  </r>
  <r>
    <x v="5"/>
    <x v="2"/>
    <n v="7.1"/>
    <n v="710000"/>
    <n v="195"/>
  </r>
  <r>
    <x v="5"/>
    <x v="3"/>
    <n v="4.68"/>
    <n v="468000"/>
    <n v="177"/>
  </r>
  <r>
    <x v="5"/>
    <x v="4"/>
    <n v="4.05"/>
    <n v="405000"/>
    <n v="168"/>
  </r>
  <r>
    <x v="5"/>
    <x v="5"/>
    <n v="3.62"/>
    <n v="362000"/>
    <n v="199"/>
  </r>
  <r>
    <x v="5"/>
    <x v="6"/>
    <n v="2.9"/>
    <n v="290000"/>
    <n v="95"/>
  </r>
  <r>
    <x v="5"/>
    <x v="7"/>
    <n v="3.08"/>
    <n v="308000"/>
    <n v="142"/>
  </r>
  <r>
    <x v="5"/>
    <x v="8"/>
    <n v="1.9"/>
    <n v="190000"/>
    <n v="56"/>
  </r>
  <r>
    <x v="5"/>
    <x v="9"/>
    <n v="1.72"/>
    <n v="172000"/>
    <n v="88"/>
  </r>
  <r>
    <x v="6"/>
    <x v="0"/>
    <n v="11.14"/>
    <n v="1114000"/>
    <n v="186"/>
  </r>
  <r>
    <x v="6"/>
    <x v="1"/>
    <n v="8.74"/>
    <n v="874000"/>
    <n v="216"/>
  </r>
  <r>
    <x v="6"/>
    <x v="2"/>
    <n v="7.87"/>
    <n v="787000"/>
    <n v="195"/>
  </r>
  <r>
    <x v="6"/>
    <x v="3"/>
    <n v="5.7"/>
    <n v="570000"/>
    <n v="177"/>
  </r>
  <r>
    <x v="6"/>
    <x v="4"/>
    <n v="4.8899999999999997"/>
    <n v="489000"/>
    <n v="168"/>
  </r>
  <r>
    <x v="6"/>
    <x v="5"/>
    <n v="3.84"/>
    <n v="384000"/>
    <n v="199"/>
  </r>
  <r>
    <x v="6"/>
    <x v="6"/>
    <n v="3"/>
    <n v="300000"/>
    <n v="95"/>
  </r>
  <r>
    <x v="6"/>
    <x v="7"/>
    <n v="3.52"/>
    <n v="352000"/>
    <n v="142"/>
  </r>
  <r>
    <x v="6"/>
    <x v="8"/>
    <n v="2.1"/>
    <n v="210000"/>
    <n v="56"/>
  </r>
  <r>
    <x v="6"/>
    <x v="9"/>
    <n v="1.88"/>
    <n v="188000"/>
    <n v="88"/>
  </r>
  <r>
    <x v="7"/>
    <x v="0"/>
    <n v="12.5"/>
    <n v="1250000"/>
    <n v="186"/>
  </r>
  <r>
    <x v="7"/>
    <x v="1"/>
    <n v="8.8000000000000007"/>
    <n v="880000"/>
    <n v="216"/>
  </r>
  <r>
    <x v="7"/>
    <x v="2"/>
    <n v="7.95"/>
    <n v="795000"/>
    <n v="195"/>
  </r>
  <r>
    <x v="7"/>
    <x v="3"/>
    <n v="5.6"/>
    <n v="560000"/>
    <n v="177"/>
  </r>
  <r>
    <x v="7"/>
    <x v="4"/>
    <n v="4.92"/>
    <n v="492000"/>
    <n v="168"/>
  </r>
  <r>
    <x v="7"/>
    <x v="5"/>
    <n v="3.85"/>
    <n v="385000"/>
    <n v="199"/>
  </r>
  <r>
    <x v="7"/>
    <x v="6"/>
    <n v="3.1"/>
    <n v="310000"/>
    <n v="95"/>
  </r>
  <r>
    <x v="7"/>
    <x v="7"/>
    <n v="3.55"/>
    <n v="355000"/>
    <n v="142"/>
  </r>
  <r>
    <x v="7"/>
    <x v="8"/>
    <n v="2.25"/>
    <n v="225000"/>
    <n v="56"/>
  </r>
  <r>
    <x v="7"/>
    <x v="9"/>
    <n v="1.95"/>
    <n v="195000"/>
    <n v="88"/>
  </r>
  <r>
    <x v="8"/>
    <x v="0"/>
    <n v="12.5"/>
    <n v="1250000"/>
    <n v="186"/>
  </r>
  <r>
    <x v="8"/>
    <x v="1"/>
    <n v="10.74"/>
    <n v="1074000"/>
    <n v="216"/>
  </r>
  <r>
    <x v="8"/>
    <x v="2"/>
    <n v="9.3000000000000007"/>
    <n v="930000"/>
    <n v="195"/>
  </r>
  <r>
    <x v="8"/>
    <x v="3"/>
    <n v="7"/>
    <n v="700000"/>
    <n v="177"/>
  </r>
  <r>
    <x v="8"/>
    <x v="4"/>
    <n v="5.8"/>
    <n v="580000"/>
    <n v="168"/>
  </r>
  <r>
    <x v="8"/>
    <x v="5"/>
    <n v="4.5999999999999996"/>
    <n v="460000"/>
    <n v="199"/>
  </r>
  <r>
    <x v="8"/>
    <x v="6"/>
    <n v="3.5"/>
    <n v="350000"/>
    <n v="95"/>
  </r>
  <r>
    <x v="8"/>
    <x v="7"/>
    <n v="4.0999999999999996"/>
    <n v="410000"/>
    <n v="142"/>
  </r>
  <r>
    <x v="8"/>
    <x v="8"/>
    <n v="2.9"/>
    <n v="290000"/>
    <n v="56"/>
  </r>
  <r>
    <x v="8"/>
    <x v="9"/>
    <n v="2.2999999999999998"/>
    <n v="230000"/>
    <n v="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C6526-74FE-43CD-A524-26A1D7AD9E82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14" firstHeaderRow="1" firstDataRow="1" firstDataCol="1"/>
  <pivotFields count="15">
    <pivotField compact="0" outline="0" showAll="0"/>
    <pivotField axis="axisRow" compact="0" outline="0" showAll="0">
      <items count="11">
        <item x="6"/>
        <item x="5"/>
        <item x="9"/>
        <item x="1"/>
        <item x="2"/>
        <item x="4"/>
        <item x="8"/>
        <item x="3"/>
        <item x="0"/>
        <item x="7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scheme_name" fld="2" subtotal="count" baseField="0" baseItem="0"/>
  </dataFields>
  <chartFormats count="4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983DF6-3A4C-4782-8352-BF5702140832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6" firstHeaderRow="1" firstDataRow="1" firstDataCol="1"/>
  <pivotFields count="15">
    <pivotField compact="0" outline="0" showAll="0"/>
    <pivotField compact="0" outline="0" showAll="0"/>
    <pivotField dataField="1"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scheme_name" fld="2" subtotal="count" baseField="0" baseItem="0"/>
  </dataFields>
  <chartFormats count="1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F8B10-A5B0-48A3-BEA0-25BEADE9DECA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4" firstHeaderRow="1" firstDataRow="1" firstDataCol="1" rowPageCount="1" colPageCount="1"/>
  <pivotFields count="5">
    <pivotField axis="axisPage" compact="0" numFmtId="14" outline="0" showAll="0">
      <items count="10">
        <item h="1" x="0"/>
        <item h="1" x="1"/>
        <item h="1" x="2"/>
        <item h="1" x="3"/>
        <item h="1" x="4"/>
        <item h="1" x="5"/>
        <item h="1" x="6"/>
        <item h="1" x="7"/>
        <item x="8"/>
        <item t="default"/>
      </items>
    </pivotField>
    <pivotField axis="axisRow" compact="0" outline="0" showAll="0">
      <items count="11">
        <item x="5"/>
        <item x="6"/>
        <item x="9"/>
        <item x="2"/>
        <item x="1"/>
        <item x="4"/>
        <item x="8"/>
        <item x="3"/>
        <item x="0"/>
        <item x="7"/>
        <item t="default"/>
      </items>
    </pivotField>
    <pivotField compact="0" outline="0" showAll="0"/>
    <pivotField dataField="1" compact="0" outline="0" showAll="0"/>
    <pivotField compact="0" outline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0" item="8" hier="-1"/>
  </pageFields>
  <dataFields count="1">
    <dataField name="Sum of aum_crore" fld="3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opLeftCell="B2" workbookViewId="0">
      <selection activeCell="D9" sqref="D9"/>
    </sheetView>
  </sheetViews>
  <sheetFormatPr defaultRowHeight="15"/>
  <cols>
    <col min="1" max="1" width="12" style="2" customWidth="1"/>
    <col min="2" max="2" width="20.42578125" style="2" customWidth="1"/>
    <col min="3" max="3" width="47.7109375" style="2" customWidth="1"/>
    <col min="4" max="4" width="9.140625" style="2"/>
    <col min="5" max="5" width="14.42578125" style="2" customWidth="1"/>
    <col min="6" max="6" width="10.7109375" style="2" customWidth="1"/>
    <col min="7" max="7" width="13.7109375" style="2" customWidth="1"/>
    <col min="8" max="8" width="28.5703125" style="2" customWidth="1"/>
    <col min="9" max="9" width="15.28515625" style="2" customWidth="1"/>
    <col min="10" max="10" width="14.140625" style="2" customWidth="1"/>
    <col min="11" max="11" width="14.85546875" style="2" customWidth="1"/>
    <col min="12" max="12" width="21.140625" style="2" customWidth="1"/>
    <col min="13" max="13" width="16.28515625" style="2" customWidth="1"/>
    <col min="14" max="14" width="13.85546875" style="2" customWidth="1"/>
    <col min="15" max="15" width="18.7109375" style="2" customWidth="1"/>
    <col min="16" max="16384" width="9.140625" style="2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3">
        <v>119551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4">
        <v>38762</v>
      </c>
      <c r="H2" s="3" t="s">
        <v>20</v>
      </c>
      <c r="I2" s="3">
        <v>1.54</v>
      </c>
      <c r="J2" s="3">
        <v>1</v>
      </c>
      <c r="K2" s="3">
        <v>500</v>
      </c>
      <c r="L2" s="3">
        <v>1000</v>
      </c>
      <c r="M2" s="3" t="s">
        <v>21</v>
      </c>
      <c r="N2" s="3" t="s">
        <v>22</v>
      </c>
      <c r="O2" s="3" t="s">
        <v>23</v>
      </c>
    </row>
    <row r="3" spans="1:15">
      <c r="A3" s="3">
        <v>119552</v>
      </c>
      <c r="B3" s="3" t="s">
        <v>15</v>
      </c>
      <c r="C3" s="3" t="s">
        <v>24</v>
      </c>
      <c r="D3" s="3" t="s">
        <v>17</v>
      </c>
      <c r="E3" s="3" t="s">
        <v>18</v>
      </c>
      <c r="F3" s="3" t="s">
        <v>25</v>
      </c>
      <c r="G3" s="4">
        <v>41275</v>
      </c>
      <c r="H3" s="3" t="s">
        <v>20</v>
      </c>
      <c r="I3" s="3">
        <v>0.66</v>
      </c>
      <c r="J3" s="3">
        <v>1</v>
      </c>
      <c r="K3" s="3">
        <v>500</v>
      </c>
      <c r="L3" s="3">
        <v>1000</v>
      </c>
      <c r="M3" s="3" t="s">
        <v>21</v>
      </c>
      <c r="N3" s="3" t="s">
        <v>22</v>
      </c>
      <c r="O3" s="3" t="s">
        <v>23</v>
      </c>
    </row>
    <row r="4" spans="1:15">
      <c r="A4" s="3">
        <v>119598</v>
      </c>
      <c r="B4" s="3" t="s">
        <v>15</v>
      </c>
      <c r="C4" s="3" t="s">
        <v>26</v>
      </c>
      <c r="D4" s="3" t="s">
        <v>17</v>
      </c>
      <c r="E4" s="3" t="s">
        <v>27</v>
      </c>
      <c r="F4" s="3" t="s">
        <v>19</v>
      </c>
      <c r="G4" s="4">
        <v>40065</v>
      </c>
      <c r="H4" s="3" t="s">
        <v>28</v>
      </c>
      <c r="I4" s="3">
        <v>1.43</v>
      </c>
      <c r="J4" s="3">
        <v>1</v>
      </c>
      <c r="K4" s="3">
        <v>500</v>
      </c>
      <c r="L4" s="3">
        <v>1000</v>
      </c>
      <c r="M4" s="3" t="s">
        <v>29</v>
      </c>
      <c r="N4" s="3" t="s">
        <v>30</v>
      </c>
      <c r="O4" s="3" t="s">
        <v>31</v>
      </c>
    </row>
    <row r="5" spans="1:15">
      <c r="A5" s="3">
        <v>119599</v>
      </c>
      <c r="B5" s="3" t="s">
        <v>15</v>
      </c>
      <c r="C5" s="3" t="s">
        <v>32</v>
      </c>
      <c r="D5" s="3" t="s">
        <v>17</v>
      </c>
      <c r="E5" s="3" t="s">
        <v>27</v>
      </c>
      <c r="F5" s="3" t="s">
        <v>25</v>
      </c>
      <c r="G5" s="4">
        <v>41275</v>
      </c>
      <c r="H5" s="3" t="s">
        <v>28</v>
      </c>
      <c r="I5" s="3">
        <v>0.72</v>
      </c>
      <c r="J5" s="3">
        <v>1</v>
      </c>
      <c r="K5" s="3">
        <v>500</v>
      </c>
      <c r="L5" s="3">
        <v>1000</v>
      </c>
      <c r="M5" s="3" t="s">
        <v>29</v>
      </c>
      <c r="N5" s="3" t="s">
        <v>30</v>
      </c>
      <c r="O5" s="3" t="s">
        <v>31</v>
      </c>
    </row>
    <row r="6" spans="1:15">
      <c r="A6" s="3">
        <v>119120</v>
      </c>
      <c r="B6" s="3" t="s">
        <v>15</v>
      </c>
      <c r="C6" s="3" t="s">
        <v>33</v>
      </c>
      <c r="D6" s="3" t="s">
        <v>34</v>
      </c>
      <c r="E6" s="3" t="s">
        <v>35</v>
      </c>
      <c r="F6" s="3" t="s">
        <v>19</v>
      </c>
      <c r="G6" s="4">
        <v>36890</v>
      </c>
      <c r="H6" s="3" t="s">
        <v>36</v>
      </c>
      <c r="I6" s="3">
        <v>0.77</v>
      </c>
      <c r="J6" s="3">
        <v>0</v>
      </c>
      <c r="K6" s="3">
        <v>500</v>
      </c>
      <c r="L6" s="3">
        <v>1000</v>
      </c>
      <c r="M6" s="3" t="s">
        <v>37</v>
      </c>
      <c r="N6" s="3" t="s">
        <v>38</v>
      </c>
      <c r="O6" s="3" t="s">
        <v>39</v>
      </c>
    </row>
    <row r="7" spans="1:15">
      <c r="A7" s="3">
        <v>100016</v>
      </c>
      <c r="B7" s="3" t="s">
        <v>40</v>
      </c>
      <c r="C7" s="3" t="s">
        <v>41</v>
      </c>
      <c r="D7" s="3" t="s">
        <v>17</v>
      </c>
      <c r="E7" s="3" t="s">
        <v>18</v>
      </c>
      <c r="F7" s="3" t="s">
        <v>19</v>
      </c>
      <c r="G7" s="4">
        <v>35319</v>
      </c>
      <c r="H7" s="3" t="s">
        <v>20</v>
      </c>
      <c r="I7" s="3">
        <v>1.55</v>
      </c>
      <c r="J7" s="3">
        <v>1</v>
      </c>
      <c r="K7" s="3">
        <v>500</v>
      </c>
      <c r="L7" s="3">
        <v>1000</v>
      </c>
      <c r="M7" s="3" t="s">
        <v>42</v>
      </c>
      <c r="N7" s="3" t="s">
        <v>22</v>
      </c>
      <c r="O7" s="3" t="s">
        <v>23</v>
      </c>
    </row>
    <row r="8" spans="1:15">
      <c r="A8" s="3">
        <v>125497</v>
      </c>
      <c r="B8" s="3" t="s">
        <v>40</v>
      </c>
      <c r="C8" s="3" t="s">
        <v>43</v>
      </c>
      <c r="D8" s="3" t="s">
        <v>17</v>
      </c>
      <c r="E8" s="3" t="s">
        <v>18</v>
      </c>
      <c r="F8" s="3" t="s">
        <v>25</v>
      </c>
      <c r="G8" s="4">
        <v>41275</v>
      </c>
      <c r="H8" s="3" t="s">
        <v>20</v>
      </c>
      <c r="I8" s="3">
        <v>0.92</v>
      </c>
      <c r="J8" s="3">
        <v>1</v>
      </c>
      <c r="K8" s="3">
        <v>500</v>
      </c>
      <c r="L8" s="3">
        <v>1000</v>
      </c>
      <c r="M8" s="3" t="s">
        <v>42</v>
      </c>
      <c r="N8" s="3" t="s">
        <v>22</v>
      </c>
      <c r="O8" s="3" t="s">
        <v>23</v>
      </c>
    </row>
    <row r="9" spans="1:15">
      <c r="A9" s="3">
        <v>100033</v>
      </c>
      <c r="B9" s="3" t="s">
        <v>40</v>
      </c>
      <c r="C9" s="3" t="s">
        <v>44</v>
      </c>
      <c r="D9" s="3" t="s">
        <v>17</v>
      </c>
      <c r="E9" s="3" t="s">
        <v>45</v>
      </c>
      <c r="F9" s="3" t="s">
        <v>19</v>
      </c>
      <c r="G9" s="4">
        <v>39258</v>
      </c>
      <c r="H9" s="3" t="s">
        <v>46</v>
      </c>
      <c r="I9" s="3">
        <v>1.38</v>
      </c>
      <c r="J9" s="3">
        <v>1</v>
      </c>
      <c r="K9" s="3">
        <v>500</v>
      </c>
      <c r="L9" s="3">
        <v>1000</v>
      </c>
      <c r="M9" s="3" t="s">
        <v>47</v>
      </c>
      <c r="N9" s="3" t="s">
        <v>48</v>
      </c>
      <c r="O9" s="3" t="s">
        <v>49</v>
      </c>
    </row>
    <row r="10" spans="1:15">
      <c r="A10" s="3">
        <v>125498</v>
      </c>
      <c r="B10" s="3" t="s">
        <v>40</v>
      </c>
      <c r="C10" s="3" t="s">
        <v>50</v>
      </c>
      <c r="D10" s="3" t="s">
        <v>17</v>
      </c>
      <c r="E10" s="3" t="s">
        <v>45</v>
      </c>
      <c r="F10" s="3" t="s">
        <v>25</v>
      </c>
      <c r="G10" s="4">
        <v>41275</v>
      </c>
      <c r="H10" s="3" t="s">
        <v>46</v>
      </c>
      <c r="I10" s="3">
        <v>0.78</v>
      </c>
      <c r="J10" s="3">
        <v>1</v>
      </c>
      <c r="K10" s="3">
        <v>500</v>
      </c>
      <c r="L10" s="3">
        <v>1000</v>
      </c>
      <c r="M10" s="3" t="s">
        <v>47</v>
      </c>
      <c r="N10" s="3" t="s">
        <v>48</v>
      </c>
      <c r="O10" s="3" t="s">
        <v>49</v>
      </c>
    </row>
    <row r="11" spans="1:15">
      <c r="A11" s="3">
        <v>100025</v>
      </c>
      <c r="B11" s="3" t="s">
        <v>40</v>
      </c>
      <c r="C11" s="3" t="s">
        <v>51</v>
      </c>
      <c r="D11" s="3" t="s">
        <v>34</v>
      </c>
      <c r="E11" s="3" t="s">
        <v>52</v>
      </c>
      <c r="F11" s="3" t="s">
        <v>19</v>
      </c>
      <c r="G11" s="4">
        <v>37432</v>
      </c>
      <c r="H11" s="3" t="s">
        <v>53</v>
      </c>
      <c r="I11" s="3">
        <v>0.56000000000000005</v>
      </c>
      <c r="J11" s="3">
        <v>0.5</v>
      </c>
      <c r="K11" s="3">
        <v>500</v>
      </c>
      <c r="L11" s="3">
        <v>1000</v>
      </c>
      <c r="M11" s="3" t="s">
        <v>54</v>
      </c>
      <c r="N11" s="3" t="s">
        <v>38</v>
      </c>
      <c r="O11" s="3" t="s">
        <v>39</v>
      </c>
    </row>
    <row r="12" spans="1:15">
      <c r="A12" s="3">
        <v>120503</v>
      </c>
      <c r="B12" s="3" t="s">
        <v>55</v>
      </c>
      <c r="C12" s="3" t="s">
        <v>56</v>
      </c>
      <c r="D12" s="3" t="s">
        <v>17</v>
      </c>
      <c r="E12" s="3" t="s">
        <v>18</v>
      </c>
      <c r="F12" s="3" t="s">
        <v>19</v>
      </c>
      <c r="G12" s="4">
        <v>39591</v>
      </c>
      <c r="H12" s="3" t="s">
        <v>20</v>
      </c>
      <c r="I12" s="3">
        <v>1.42</v>
      </c>
      <c r="J12" s="3">
        <v>1</v>
      </c>
      <c r="K12" s="3">
        <v>500</v>
      </c>
      <c r="L12" s="3">
        <v>1000</v>
      </c>
      <c r="M12" s="3" t="s">
        <v>57</v>
      </c>
      <c r="N12" s="3" t="s">
        <v>22</v>
      </c>
      <c r="O12" s="3" t="s">
        <v>23</v>
      </c>
    </row>
    <row r="13" spans="1:15">
      <c r="A13" s="3">
        <v>120504</v>
      </c>
      <c r="B13" s="3" t="s">
        <v>55</v>
      </c>
      <c r="C13" s="3" t="s">
        <v>58</v>
      </c>
      <c r="D13" s="3" t="s">
        <v>17</v>
      </c>
      <c r="E13" s="3" t="s">
        <v>18</v>
      </c>
      <c r="F13" s="3" t="s">
        <v>25</v>
      </c>
      <c r="G13" s="4">
        <v>41275</v>
      </c>
      <c r="H13" s="3" t="s">
        <v>20</v>
      </c>
      <c r="I13" s="3">
        <v>0.8</v>
      </c>
      <c r="J13" s="3">
        <v>1</v>
      </c>
      <c r="K13" s="3">
        <v>500</v>
      </c>
      <c r="L13" s="3">
        <v>1000</v>
      </c>
      <c r="M13" s="3" t="s">
        <v>57</v>
      </c>
      <c r="N13" s="3" t="s">
        <v>22</v>
      </c>
      <c r="O13" s="3" t="s">
        <v>23</v>
      </c>
    </row>
    <row r="14" spans="1:15">
      <c r="A14" s="3">
        <v>120505</v>
      </c>
      <c r="B14" s="3" t="s">
        <v>55</v>
      </c>
      <c r="C14" s="3" t="s">
        <v>59</v>
      </c>
      <c r="D14" s="3" t="s">
        <v>17</v>
      </c>
      <c r="E14" s="3" t="s">
        <v>45</v>
      </c>
      <c r="F14" s="3" t="s">
        <v>19</v>
      </c>
      <c r="G14" s="4">
        <v>38288</v>
      </c>
      <c r="H14" s="3" t="s">
        <v>46</v>
      </c>
      <c r="I14" s="3">
        <v>1.36</v>
      </c>
      <c r="J14" s="3">
        <v>1</v>
      </c>
      <c r="K14" s="3">
        <v>500</v>
      </c>
      <c r="L14" s="3">
        <v>1000</v>
      </c>
      <c r="M14" s="3" t="s">
        <v>60</v>
      </c>
      <c r="N14" s="3" t="s">
        <v>48</v>
      </c>
      <c r="O14" s="3" t="s">
        <v>49</v>
      </c>
    </row>
    <row r="15" spans="1:15">
      <c r="A15" s="3">
        <v>120506</v>
      </c>
      <c r="B15" s="3" t="s">
        <v>55</v>
      </c>
      <c r="C15" s="3" t="s">
        <v>61</v>
      </c>
      <c r="D15" s="3" t="s">
        <v>17</v>
      </c>
      <c r="E15" s="3" t="s">
        <v>62</v>
      </c>
      <c r="F15" s="3" t="s">
        <v>19</v>
      </c>
      <c r="G15" s="4">
        <v>38215</v>
      </c>
      <c r="H15" s="3" t="s">
        <v>63</v>
      </c>
      <c r="I15" s="3">
        <v>1.41</v>
      </c>
      <c r="J15" s="3">
        <v>1</v>
      </c>
      <c r="K15" s="3">
        <v>500</v>
      </c>
      <c r="L15" s="3">
        <v>1000</v>
      </c>
      <c r="M15" s="3" t="s">
        <v>60</v>
      </c>
      <c r="N15" s="3" t="s">
        <v>64</v>
      </c>
      <c r="O15" s="3" t="s">
        <v>65</v>
      </c>
    </row>
    <row r="16" spans="1:15">
      <c r="A16" s="3">
        <v>120507</v>
      </c>
      <c r="B16" s="3" t="s">
        <v>55</v>
      </c>
      <c r="C16" s="3" t="s">
        <v>66</v>
      </c>
      <c r="D16" s="3" t="s">
        <v>34</v>
      </c>
      <c r="E16" s="3" t="s">
        <v>67</v>
      </c>
      <c r="F16" s="3" t="s">
        <v>19</v>
      </c>
      <c r="G16" s="4">
        <v>37212</v>
      </c>
      <c r="H16" s="3" t="s">
        <v>68</v>
      </c>
      <c r="I16" s="3">
        <v>0.74</v>
      </c>
      <c r="J16" s="3">
        <v>0</v>
      </c>
      <c r="K16" s="3">
        <v>500</v>
      </c>
      <c r="L16" s="3">
        <v>5000</v>
      </c>
      <c r="M16" s="3" t="s">
        <v>69</v>
      </c>
      <c r="N16" s="3" t="s">
        <v>38</v>
      </c>
      <c r="O16" s="3" t="s">
        <v>70</v>
      </c>
    </row>
    <row r="17" spans="1:15">
      <c r="A17" s="3">
        <v>118632</v>
      </c>
      <c r="B17" s="3" t="s">
        <v>71</v>
      </c>
      <c r="C17" s="3" t="s">
        <v>72</v>
      </c>
      <c r="D17" s="3" t="s">
        <v>17</v>
      </c>
      <c r="E17" s="3" t="s">
        <v>18</v>
      </c>
      <c r="F17" s="3" t="s">
        <v>19</v>
      </c>
      <c r="G17" s="4">
        <v>38207</v>
      </c>
      <c r="H17" s="3" t="s">
        <v>20</v>
      </c>
      <c r="I17" s="3">
        <v>1.51</v>
      </c>
      <c r="J17" s="3">
        <v>1</v>
      </c>
      <c r="K17" s="3">
        <v>500</v>
      </c>
      <c r="L17" s="3">
        <v>1000</v>
      </c>
      <c r="M17" s="3" t="s">
        <v>73</v>
      </c>
      <c r="N17" s="3" t="s">
        <v>22</v>
      </c>
      <c r="O17" s="3" t="s">
        <v>23</v>
      </c>
    </row>
    <row r="18" spans="1:15">
      <c r="A18" s="3">
        <v>118633</v>
      </c>
      <c r="B18" s="3" t="s">
        <v>71</v>
      </c>
      <c r="C18" s="3" t="s">
        <v>74</v>
      </c>
      <c r="D18" s="3" t="s">
        <v>17</v>
      </c>
      <c r="E18" s="3" t="s">
        <v>18</v>
      </c>
      <c r="F18" s="3" t="s">
        <v>25</v>
      </c>
      <c r="G18" s="4">
        <v>41275</v>
      </c>
      <c r="H18" s="3" t="s">
        <v>20</v>
      </c>
      <c r="I18" s="3">
        <v>0.72</v>
      </c>
      <c r="J18" s="3">
        <v>1</v>
      </c>
      <c r="K18" s="3">
        <v>500</v>
      </c>
      <c r="L18" s="3">
        <v>1000</v>
      </c>
      <c r="M18" s="3" t="s">
        <v>73</v>
      </c>
      <c r="N18" s="3" t="s">
        <v>22</v>
      </c>
      <c r="O18" s="3" t="s">
        <v>23</v>
      </c>
    </row>
    <row r="19" spans="1:15">
      <c r="A19" s="3">
        <v>118634</v>
      </c>
      <c r="B19" s="3" t="s">
        <v>71</v>
      </c>
      <c r="C19" s="3" t="s">
        <v>75</v>
      </c>
      <c r="D19" s="3" t="s">
        <v>17</v>
      </c>
      <c r="E19" s="3" t="s">
        <v>27</v>
      </c>
      <c r="F19" s="3" t="s">
        <v>19</v>
      </c>
      <c r="G19" s="4">
        <v>40437</v>
      </c>
      <c r="H19" s="3" t="s">
        <v>28</v>
      </c>
      <c r="I19" s="3">
        <v>1.53</v>
      </c>
      <c r="J19" s="3">
        <v>1</v>
      </c>
      <c r="K19" s="3">
        <v>500</v>
      </c>
      <c r="L19" s="3">
        <v>1000</v>
      </c>
      <c r="M19" s="3" t="s">
        <v>76</v>
      </c>
      <c r="N19" s="3" t="s">
        <v>30</v>
      </c>
      <c r="O19" s="3" t="s">
        <v>31</v>
      </c>
    </row>
    <row r="20" spans="1:15">
      <c r="A20" s="3">
        <v>118635</v>
      </c>
      <c r="B20" s="3" t="s">
        <v>71</v>
      </c>
      <c r="C20" s="3" t="s">
        <v>77</v>
      </c>
      <c r="D20" s="3" t="s">
        <v>17</v>
      </c>
      <c r="E20" s="3" t="s">
        <v>78</v>
      </c>
      <c r="F20" s="3" t="s">
        <v>25</v>
      </c>
      <c r="G20" s="4">
        <v>37253</v>
      </c>
      <c r="H20" s="3" t="s">
        <v>79</v>
      </c>
      <c r="I20" s="3">
        <v>0.89</v>
      </c>
      <c r="J20" s="3">
        <v>0</v>
      </c>
      <c r="K20" s="3">
        <v>500</v>
      </c>
      <c r="L20" s="3">
        <v>100</v>
      </c>
      <c r="M20" s="3" t="s">
        <v>80</v>
      </c>
      <c r="N20" s="3" t="s">
        <v>22</v>
      </c>
      <c r="O20" s="3" t="s">
        <v>81</v>
      </c>
    </row>
    <row r="21" spans="1:15">
      <c r="A21" s="3">
        <v>118636</v>
      </c>
      <c r="B21" s="3" t="s">
        <v>71</v>
      </c>
      <c r="C21" s="3" t="s">
        <v>82</v>
      </c>
      <c r="D21" s="3" t="s">
        <v>34</v>
      </c>
      <c r="E21" s="3" t="s">
        <v>35</v>
      </c>
      <c r="F21" s="3" t="s">
        <v>19</v>
      </c>
      <c r="G21" s="4">
        <v>36391</v>
      </c>
      <c r="H21" s="3" t="s">
        <v>36</v>
      </c>
      <c r="I21" s="3">
        <v>0.55000000000000004</v>
      </c>
      <c r="J21" s="3">
        <v>0</v>
      </c>
      <c r="K21" s="3">
        <v>500</v>
      </c>
      <c r="L21" s="3">
        <v>1000</v>
      </c>
      <c r="M21" s="3" t="s">
        <v>83</v>
      </c>
      <c r="N21" s="3" t="s">
        <v>38</v>
      </c>
      <c r="O21" s="3" t="s">
        <v>39</v>
      </c>
    </row>
    <row r="22" spans="1:15">
      <c r="A22" s="3">
        <v>120841</v>
      </c>
      <c r="B22" s="3" t="s">
        <v>84</v>
      </c>
      <c r="C22" s="3" t="s">
        <v>85</v>
      </c>
      <c r="D22" s="3" t="s">
        <v>17</v>
      </c>
      <c r="E22" s="3" t="s">
        <v>18</v>
      </c>
      <c r="F22" s="3" t="s">
        <v>19</v>
      </c>
      <c r="G22" s="4">
        <v>38715</v>
      </c>
      <c r="H22" s="3" t="s">
        <v>20</v>
      </c>
      <c r="I22" s="3">
        <v>1.59</v>
      </c>
      <c r="J22" s="3">
        <v>1</v>
      </c>
      <c r="K22" s="3">
        <v>500</v>
      </c>
      <c r="L22" s="3">
        <v>1000</v>
      </c>
      <c r="M22" s="3" t="s">
        <v>86</v>
      </c>
      <c r="N22" s="3" t="s">
        <v>22</v>
      </c>
      <c r="O22" s="3" t="s">
        <v>23</v>
      </c>
    </row>
    <row r="23" spans="1:15">
      <c r="A23" s="3">
        <v>120842</v>
      </c>
      <c r="B23" s="3" t="s">
        <v>84</v>
      </c>
      <c r="C23" s="3" t="s">
        <v>87</v>
      </c>
      <c r="D23" s="3" t="s">
        <v>17</v>
      </c>
      <c r="E23" s="3" t="s">
        <v>45</v>
      </c>
      <c r="F23" s="3" t="s">
        <v>19</v>
      </c>
      <c r="G23" s="4">
        <v>39171</v>
      </c>
      <c r="H23" s="3" t="s">
        <v>46</v>
      </c>
      <c r="I23" s="3">
        <v>1.56</v>
      </c>
      <c r="J23" s="3">
        <v>1</v>
      </c>
      <c r="K23" s="3">
        <v>500</v>
      </c>
      <c r="L23" s="3">
        <v>1000</v>
      </c>
      <c r="M23" s="3" t="s">
        <v>88</v>
      </c>
      <c r="N23" s="3" t="s">
        <v>48</v>
      </c>
      <c r="O23" s="3" t="s">
        <v>49</v>
      </c>
    </row>
    <row r="24" spans="1:15">
      <c r="A24" s="3">
        <v>120843</v>
      </c>
      <c r="B24" s="3" t="s">
        <v>84</v>
      </c>
      <c r="C24" s="3" t="s">
        <v>89</v>
      </c>
      <c r="D24" s="3" t="s">
        <v>17</v>
      </c>
      <c r="E24" s="3" t="s">
        <v>90</v>
      </c>
      <c r="F24" s="3" t="s">
        <v>19</v>
      </c>
      <c r="G24" s="4">
        <v>40036</v>
      </c>
      <c r="H24" s="3" t="s">
        <v>63</v>
      </c>
      <c r="I24" s="3">
        <v>1.45</v>
      </c>
      <c r="J24" s="3">
        <v>1</v>
      </c>
      <c r="K24" s="3">
        <v>500</v>
      </c>
      <c r="L24" s="3">
        <v>1000</v>
      </c>
      <c r="M24" s="3" t="s">
        <v>88</v>
      </c>
      <c r="N24" s="3" t="s">
        <v>64</v>
      </c>
      <c r="O24" s="3" t="s">
        <v>91</v>
      </c>
    </row>
    <row r="25" spans="1:15">
      <c r="A25" s="3">
        <v>120844</v>
      </c>
      <c r="B25" s="3" t="s">
        <v>84</v>
      </c>
      <c r="C25" s="3" t="s">
        <v>92</v>
      </c>
      <c r="D25" s="3" t="s">
        <v>34</v>
      </c>
      <c r="E25" s="3" t="s">
        <v>67</v>
      </c>
      <c r="F25" s="3" t="s">
        <v>19</v>
      </c>
      <c r="G25" s="4">
        <v>38049</v>
      </c>
      <c r="H25" s="3" t="s">
        <v>68</v>
      </c>
      <c r="I25" s="3">
        <v>0.6</v>
      </c>
      <c r="J25" s="3">
        <v>0</v>
      </c>
      <c r="K25" s="3">
        <v>500</v>
      </c>
      <c r="L25" s="3">
        <v>5000</v>
      </c>
      <c r="M25" s="3" t="s">
        <v>93</v>
      </c>
      <c r="N25" s="3" t="s">
        <v>38</v>
      </c>
      <c r="O25" s="3" t="s">
        <v>70</v>
      </c>
    </row>
    <row r="26" spans="1:15">
      <c r="A26" s="3">
        <v>119092</v>
      </c>
      <c r="B26" s="3" t="s">
        <v>94</v>
      </c>
      <c r="C26" s="3" t="s">
        <v>95</v>
      </c>
      <c r="D26" s="3" t="s">
        <v>17</v>
      </c>
      <c r="E26" s="3" t="s">
        <v>18</v>
      </c>
      <c r="F26" s="3" t="s">
        <v>19</v>
      </c>
      <c r="G26" s="4">
        <v>40183</v>
      </c>
      <c r="H26" s="3" t="s">
        <v>20</v>
      </c>
      <c r="I26" s="3">
        <v>1.64</v>
      </c>
      <c r="J26" s="3">
        <v>1</v>
      </c>
      <c r="K26" s="3">
        <v>500</v>
      </c>
      <c r="L26" s="3">
        <v>1000</v>
      </c>
      <c r="M26" s="3" t="s">
        <v>96</v>
      </c>
      <c r="N26" s="3" t="s">
        <v>22</v>
      </c>
      <c r="O26" s="3" t="s">
        <v>23</v>
      </c>
    </row>
    <row r="27" spans="1:15">
      <c r="A27" s="3">
        <v>119093</v>
      </c>
      <c r="B27" s="3" t="s">
        <v>94</v>
      </c>
      <c r="C27" s="3" t="s">
        <v>97</v>
      </c>
      <c r="D27" s="3" t="s">
        <v>17</v>
      </c>
      <c r="E27" s="3" t="s">
        <v>18</v>
      </c>
      <c r="F27" s="3" t="s">
        <v>25</v>
      </c>
      <c r="G27" s="4">
        <v>41275</v>
      </c>
      <c r="H27" s="3" t="s">
        <v>20</v>
      </c>
      <c r="I27" s="3">
        <v>0.75</v>
      </c>
      <c r="J27" s="3">
        <v>1</v>
      </c>
      <c r="K27" s="3">
        <v>500</v>
      </c>
      <c r="L27" s="3">
        <v>1000</v>
      </c>
      <c r="M27" s="3" t="s">
        <v>96</v>
      </c>
      <c r="N27" s="3" t="s">
        <v>22</v>
      </c>
      <c r="O27" s="3" t="s">
        <v>23</v>
      </c>
    </row>
    <row r="28" spans="1:15">
      <c r="A28" s="3">
        <v>119094</v>
      </c>
      <c r="B28" s="3" t="s">
        <v>94</v>
      </c>
      <c r="C28" s="3" t="s">
        <v>98</v>
      </c>
      <c r="D28" s="3" t="s">
        <v>17</v>
      </c>
      <c r="E28" s="3" t="s">
        <v>45</v>
      </c>
      <c r="F28" s="3" t="s">
        <v>19</v>
      </c>
      <c r="G28" s="4">
        <v>40592</v>
      </c>
      <c r="H28" s="3" t="s">
        <v>99</v>
      </c>
      <c r="I28" s="3">
        <v>1.38</v>
      </c>
      <c r="J28" s="3">
        <v>1</v>
      </c>
      <c r="K28" s="3">
        <v>500</v>
      </c>
      <c r="L28" s="3">
        <v>1000</v>
      </c>
      <c r="M28" s="3" t="s">
        <v>100</v>
      </c>
      <c r="N28" s="3" t="s">
        <v>48</v>
      </c>
      <c r="O28" s="3" t="s">
        <v>49</v>
      </c>
    </row>
    <row r="29" spans="1:15">
      <c r="A29" s="3">
        <v>119095</v>
      </c>
      <c r="B29" s="3" t="s">
        <v>94</v>
      </c>
      <c r="C29" s="3" t="s">
        <v>101</v>
      </c>
      <c r="D29" s="3" t="s">
        <v>17</v>
      </c>
      <c r="E29" s="3" t="s">
        <v>27</v>
      </c>
      <c r="F29" s="3" t="s">
        <v>19</v>
      </c>
      <c r="G29" s="4">
        <v>41607</v>
      </c>
      <c r="H29" s="3" t="s">
        <v>28</v>
      </c>
      <c r="I29" s="3">
        <v>1.38</v>
      </c>
      <c r="J29" s="3">
        <v>1</v>
      </c>
      <c r="K29" s="3">
        <v>500</v>
      </c>
      <c r="L29" s="3">
        <v>1000</v>
      </c>
      <c r="M29" s="3" t="s">
        <v>102</v>
      </c>
      <c r="N29" s="3" t="s">
        <v>30</v>
      </c>
      <c r="O29" s="3" t="s">
        <v>31</v>
      </c>
    </row>
    <row r="30" spans="1:15">
      <c r="A30" s="3">
        <v>101206</v>
      </c>
      <c r="B30" s="3" t="s">
        <v>103</v>
      </c>
      <c r="C30" s="3" t="s">
        <v>104</v>
      </c>
      <c r="D30" s="3" t="s">
        <v>17</v>
      </c>
      <c r="E30" s="3" t="s">
        <v>18</v>
      </c>
      <c r="F30" s="3" t="s">
        <v>19</v>
      </c>
      <c r="G30" s="4">
        <v>37498</v>
      </c>
      <c r="H30" s="3" t="s">
        <v>20</v>
      </c>
      <c r="I30" s="3">
        <v>1.6</v>
      </c>
      <c r="J30" s="3">
        <v>1</v>
      </c>
      <c r="K30" s="3">
        <v>500</v>
      </c>
      <c r="L30" s="3">
        <v>1000</v>
      </c>
      <c r="M30" s="3" t="s">
        <v>105</v>
      </c>
      <c r="N30" s="3" t="s">
        <v>22</v>
      </c>
      <c r="O30" s="3" t="s">
        <v>23</v>
      </c>
    </row>
    <row r="31" spans="1:15">
      <c r="A31" s="3">
        <v>101207</v>
      </c>
      <c r="B31" s="3" t="s">
        <v>103</v>
      </c>
      <c r="C31" s="3" t="s">
        <v>106</v>
      </c>
      <c r="D31" s="3" t="s">
        <v>17</v>
      </c>
      <c r="E31" s="3" t="s">
        <v>27</v>
      </c>
      <c r="F31" s="3" t="s">
        <v>19</v>
      </c>
      <c r="G31" s="4">
        <v>39233</v>
      </c>
      <c r="H31" s="3" t="s">
        <v>28</v>
      </c>
      <c r="I31" s="3">
        <v>1.53</v>
      </c>
      <c r="J31" s="3">
        <v>1</v>
      </c>
      <c r="K31" s="3">
        <v>500</v>
      </c>
      <c r="L31" s="3">
        <v>1000</v>
      </c>
      <c r="M31" s="3" t="s">
        <v>107</v>
      </c>
      <c r="N31" s="3" t="s">
        <v>30</v>
      </c>
      <c r="O31" s="3" t="s">
        <v>31</v>
      </c>
    </row>
    <row r="32" spans="1:15">
      <c r="A32" s="3">
        <v>101208</v>
      </c>
      <c r="B32" s="3" t="s">
        <v>103</v>
      </c>
      <c r="C32" s="3" t="s">
        <v>108</v>
      </c>
      <c r="D32" s="3" t="s">
        <v>34</v>
      </c>
      <c r="E32" s="3" t="s">
        <v>67</v>
      </c>
      <c r="F32" s="3" t="s">
        <v>19</v>
      </c>
      <c r="G32" s="4">
        <v>36633</v>
      </c>
      <c r="H32" s="3" t="s">
        <v>68</v>
      </c>
      <c r="I32" s="3">
        <v>0.79</v>
      </c>
      <c r="J32" s="3">
        <v>0</v>
      </c>
      <c r="K32" s="3">
        <v>500</v>
      </c>
      <c r="L32" s="3">
        <v>5000</v>
      </c>
      <c r="M32" s="3" t="s">
        <v>109</v>
      </c>
      <c r="N32" s="3" t="s">
        <v>38</v>
      </c>
      <c r="O32" s="3" t="s">
        <v>70</v>
      </c>
    </row>
    <row r="33" spans="1:15">
      <c r="A33" s="3">
        <v>102885</v>
      </c>
      <c r="B33" s="3" t="s">
        <v>110</v>
      </c>
      <c r="C33" s="3" t="s">
        <v>111</v>
      </c>
      <c r="D33" s="3" t="s">
        <v>17</v>
      </c>
      <c r="E33" s="3" t="s">
        <v>112</v>
      </c>
      <c r="F33" s="3" t="s">
        <v>19</v>
      </c>
      <c r="G33" s="4">
        <v>36591</v>
      </c>
      <c r="H33" s="3" t="s">
        <v>79</v>
      </c>
      <c r="I33" s="3">
        <v>1.57</v>
      </c>
      <c r="J33" s="3">
        <v>0</v>
      </c>
      <c r="K33" s="3">
        <v>500</v>
      </c>
      <c r="L33" s="3">
        <v>1000</v>
      </c>
      <c r="M33" s="3" t="s">
        <v>113</v>
      </c>
      <c r="N33" s="3" t="s">
        <v>22</v>
      </c>
      <c r="O33" s="3" t="s">
        <v>81</v>
      </c>
    </row>
    <row r="34" spans="1:15">
      <c r="A34" s="3">
        <v>102886</v>
      </c>
      <c r="B34" s="3" t="s">
        <v>110</v>
      </c>
      <c r="C34" s="3" t="s">
        <v>114</v>
      </c>
      <c r="D34" s="3" t="s">
        <v>17</v>
      </c>
      <c r="E34" s="3" t="s">
        <v>45</v>
      </c>
      <c r="F34" s="3" t="s">
        <v>19</v>
      </c>
      <c r="G34" s="4">
        <v>38084</v>
      </c>
      <c r="H34" s="3" t="s">
        <v>46</v>
      </c>
      <c r="I34" s="3">
        <v>1.51</v>
      </c>
      <c r="J34" s="3">
        <v>1</v>
      </c>
      <c r="K34" s="3">
        <v>500</v>
      </c>
      <c r="L34" s="3">
        <v>1000</v>
      </c>
      <c r="M34" s="3" t="s">
        <v>115</v>
      </c>
      <c r="N34" s="3" t="s">
        <v>48</v>
      </c>
      <c r="O34" s="3" t="s">
        <v>49</v>
      </c>
    </row>
    <row r="35" spans="1:15">
      <c r="A35" s="3">
        <v>102887</v>
      </c>
      <c r="B35" s="3" t="s">
        <v>110</v>
      </c>
      <c r="C35" s="3" t="s">
        <v>116</v>
      </c>
      <c r="D35" s="3" t="s">
        <v>17</v>
      </c>
      <c r="E35" s="3" t="s">
        <v>90</v>
      </c>
      <c r="F35" s="3" t="s">
        <v>19</v>
      </c>
      <c r="G35" s="4">
        <v>38490</v>
      </c>
      <c r="H35" s="3" t="s">
        <v>63</v>
      </c>
      <c r="I35" s="3">
        <v>1.64</v>
      </c>
      <c r="J35" s="3">
        <v>1</v>
      </c>
      <c r="K35" s="3">
        <v>500</v>
      </c>
      <c r="L35" s="3">
        <v>1000</v>
      </c>
      <c r="M35" s="3" t="s">
        <v>117</v>
      </c>
      <c r="N35" s="3" t="s">
        <v>64</v>
      </c>
      <c r="O35" s="3" t="s">
        <v>91</v>
      </c>
    </row>
    <row r="36" spans="1:15">
      <c r="A36" s="3">
        <v>148567</v>
      </c>
      <c r="B36" s="3" t="s">
        <v>118</v>
      </c>
      <c r="C36" s="3" t="s">
        <v>119</v>
      </c>
      <c r="D36" s="3" t="s">
        <v>17</v>
      </c>
      <c r="E36" s="3" t="s">
        <v>18</v>
      </c>
      <c r="F36" s="3" t="s">
        <v>19</v>
      </c>
      <c r="G36" s="4">
        <v>39542</v>
      </c>
      <c r="H36" s="3" t="s">
        <v>20</v>
      </c>
      <c r="I36" s="3">
        <v>1.46</v>
      </c>
      <c r="J36" s="3">
        <v>1</v>
      </c>
      <c r="K36" s="3">
        <v>500</v>
      </c>
      <c r="L36" s="3">
        <v>1000</v>
      </c>
      <c r="M36" s="3" t="s">
        <v>120</v>
      </c>
      <c r="N36" s="3" t="s">
        <v>22</v>
      </c>
      <c r="O36" s="3" t="s">
        <v>23</v>
      </c>
    </row>
    <row r="37" spans="1:15">
      <c r="A37" s="3">
        <v>148568</v>
      </c>
      <c r="B37" s="3" t="s">
        <v>118</v>
      </c>
      <c r="C37" s="3" t="s">
        <v>121</v>
      </c>
      <c r="D37" s="3" t="s">
        <v>17</v>
      </c>
      <c r="E37" s="3" t="s">
        <v>122</v>
      </c>
      <c r="F37" s="3" t="s">
        <v>19</v>
      </c>
      <c r="G37" s="4">
        <v>40368</v>
      </c>
      <c r="H37" s="3" t="s">
        <v>123</v>
      </c>
      <c r="I37" s="3">
        <v>1.52</v>
      </c>
      <c r="J37" s="3">
        <v>1</v>
      </c>
      <c r="K37" s="3">
        <v>500</v>
      </c>
      <c r="L37" s="3">
        <v>1000</v>
      </c>
      <c r="M37" s="3" t="s">
        <v>124</v>
      </c>
      <c r="N37" s="3" t="s">
        <v>64</v>
      </c>
      <c r="O37" s="3" t="s">
        <v>91</v>
      </c>
    </row>
    <row r="38" spans="1:15">
      <c r="A38" s="3">
        <v>148569</v>
      </c>
      <c r="B38" s="3" t="s">
        <v>118</v>
      </c>
      <c r="C38" s="3" t="s">
        <v>125</v>
      </c>
      <c r="D38" s="3" t="s">
        <v>17</v>
      </c>
      <c r="E38" s="3" t="s">
        <v>126</v>
      </c>
      <c r="F38" s="3" t="s">
        <v>19</v>
      </c>
      <c r="G38" s="4">
        <v>42366</v>
      </c>
      <c r="H38" s="3" t="s">
        <v>63</v>
      </c>
      <c r="I38" s="3">
        <v>1.6</v>
      </c>
      <c r="J38" s="3">
        <v>1</v>
      </c>
      <c r="K38" s="3">
        <v>500</v>
      </c>
      <c r="L38" s="3">
        <v>1000</v>
      </c>
      <c r="M38" s="3" t="s">
        <v>124</v>
      </c>
      <c r="N38" s="3" t="s">
        <v>48</v>
      </c>
      <c r="O38" s="3" t="s">
        <v>127</v>
      </c>
    </row>
    <row r="39" spans="1:15">
      <c r="A39" s="3">
        <v>149322</v>
      </c>
      <c r="B39" s="3" t="s">
        <v>128</v>
      </c>
      <c r="C39" s="3" t="s">
        <v>129</v>
      </c>
      <c r="D39" s="3" t="s">
        <v>17</v>
      </c>
      <c r="E39" s="3" t="s">
        <v>18</v>
      </c>
      <c r="F39" s="3" t="s">
        <v>19</v>
      </c>
      <c r="G39" s="4">
        <v>37690</v>
      </c>
      <c r="H39" s="3" t="s">
        <v>20</v>
      </c>
      <c r="I39" s="3">
        <v>1.54</v>
      </c>
      <c r="J39" s="3">
        <v>1</v>
      </c>
      <c r="K39" s="3">
        <v>500</v>
      </c>
      <c r="L39" s="3">
        <v>1000</v>
      </c>
      <c r="M39" s="3" t="s">
        <v>130</v>
      </c>
      <c r="N39" s="3" t="s">
        <v>22</v>
      </c>
      <c r="O39" s="3" t="s">
        <v>23</v>
      </c>
    </row>
    <row r="40" spans="1:15">
      <c r="A40" s="3">
        <v>149323</v>
      </c>
      <c r="B40" s="3" t="s">
        <v>128</v>
      </c>
      <c r="C40" s="3" t="s">
        <v>131</v>
      </c>
      <c r="D40" s="3" t="s">
        <v>17</v>
      </c>
      <c r="E40" s="3" t="s">
        <v>45</v>
      </c>
      <c r="F40" s="3" t="s">
        <v>19</v>
      </c>
      <c r="G40" s="4">
        <v>39037</v>
      </c>
      <c r="H40" s="3" t="s">
        <v>46</v>
      </c>
      <c r="I40" s="3">
        <v>1.61</v>
      </c>
      <c r="J40" s="3">
        <v>1</v>
      </c>
      <c r="K40" s="3">
        <v>500</v>
      </c>
      <c r="L40" s="3">
        <v>1000</v>
      </c>
      <c r="M40" s="3" t="s">
        <v>132</v>
      </c>
      <c r="N40" s="3" t="s">
        <v>48</v>
      </c>
      <c r="O40" s="3" t="s">
        <v>49</v>
      </c>
    </row>
    <row r="41" spans="1:15">
      <c r="A41" s="3">
        <v>149324</v>
      </c>
      <c r="B41" s="3" t="s">
        <v>128</v>
      </c>
      <c r="C41" s="3" t="s">
        <v>133</v>
      </c>
      <c r="D41" s="3" t="s">
        <v>17</v>
      </c>
      <c r="E41" s="3" t="s">
        <v>27</v>
      </c>
      <c r="F41" s="3" t="s">
        <v>19</v>
      </c>
      <c r="G41" s="4">
        <v>39247</v>
      </c>
      <c r="H41" s="3" t="s">
        <v>28</v>
      </c>
      <c r="I41" s="3">
        <v>1.52</v>
      </c>
      <c r="J41" s="3">
        <v>1</v>
      </c>
      <c r="K41" s="3">
        <v>500</v>
      </c>
      <c r="L41" s="3">
        <v>1000</v>
      </c>
      <c r="M41" s="3" t="s">
        <v>132</v>
      </c>
      <c r="N41" s="3" t="s">
        <v>30</v>
      </c>
      <c r="O41" s="3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52061-863F-44ED-929B-EDB2E2BE9B12}">
  <dimension ref="A3:B14"/>
  <sheetViews>
    <sheetView workbookViewId="0">
      <selection activeCell="M11" sqref="M11"/>
    </sheetView>
  </sheetViews>
  <sheetFormatPr defaultRowHeight="15"/>
  <cols>
    <col min="1" max="1" width="22.140625" bestFit="1" customWidth="1"/>
    <col min="2" max="2" width="22.5703125" bestFit="1" customWidth="1"/>
  </cols>
  <sheetData>
    <row r="3" spans="1:2">
      <c r="A3" s="19" t="s">
        <v>1</v>
      </c>
      <c r="B3" t="s">
        <v>134</v>
      </c>
    </row>
    <row r="4" spans="1:2">
      <c r="A4" t="s">
        <v>103</v>
      </c>
      <c r="B4" s="20">
        <v>3</v>
      </c>
    </row>
    <row r="5" spans="1:2">
      <c r="A5" t="s">
        <v>94</v>
      </c>
      <c r="B5" s="20">
        <v>4</v>
      </c>
    </row>
    <row r="6" spans="1:2">
      <c r="A6" t="s">
        <v>128</v>
      </c>
      <c r="B6" s="20">
        <v>3</v>
      </c>
    </row>
    <row r="7" spans="1:2">
      <c r="A7" t="s">
        <v>40</v>
      </c>
      <c r="B7" s="20">
        <v>5</v>
      </c>
    </row>
    <row r="8" spans="1:2">
      <c r="A8" t="s">
        <v>55</v>
      </c>
      <c r="B8" s="20">
        <v>5</v>
      </c>
    </row>
    <row r="9" spans="1:2">
      <c r="A9" t="s">
        <v>84</v>
      </c>
      <c r="B9" s="20">
        <v>4</v>
      </c>
    </row>
    <row r="10" spans="1:2">
      <c r="A10" t="s">
        <v>118</v>
      </c>
      <c r="B10" s="20">
        <v>3</v>
      </c>
    </row>
    <row r="11" spans="1:2">
      <c r="A11" t="s">
        <v>71</v>
      </c>
      <c r="B11" s="20">
        <v>5</v>
      </c>
    </row>
    <row r="12" spans="1:2">
      <c r="A12" t="s">
        <v>15</v>
      </c>
      <c r="B12" s="20">
        <v>5</v>
      </c>
    </row>
    <row r="13" spans="1:2">
      <c r="A13" t="s">
        <v>110</v>
      </c>
      <c r="B13" s="20">
        <v>3</v>
      </c>
    </row>
    <row r="14" spans="1:2">
      <c r="A14" t="s">
        <v>135</v>
      </c>
      <c r="B14" s="20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51713-23A1-48AB-9454-4D69E67F0983}">
  <dimension ref="A3:B6"/>
  <sheetViews>
    <sheetView workbookViewId="0">
      <selection activeCell="B6" sqref="A3:B6"/>
    </sheetView>
  </sheetViews>
  <sheetFormatPr defaultRowHeight="15"/>
  <cols>
    <col min="1" max="1" width="12" bestFit="1" customWidth="1"/>
    <col min="2" max="2" width="22.5703125" bestFit="1" customWidth="1"/>
  </cols>
  <sheetData>
    <row r="3" spans="1:2">
      <c r="A3" s="19" t="s">
        <v>3</v>
      </c>
      <c r="B3" t="s">
        <v>134</v>
      </c>
    </row>
    <row r="4" spans="1:2">
      <c r="A4" t="s">
        <v>34</v>
      </c>
      <c r="B4" s="20">
        <v>6</v>
      </c>
    </row>
    <row r="5" spans="1:2">
      <c r="A5" t="s">
        <v>17</v>
      </c>
      <c r="B5" s="20">
        <v>34</v>
      </c>
    </row>
    <row r="6" spans="1:2">
      <c r="A6" t="s">
        <v>135</v>
      </c>
      <c r="B6" s="20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F500A-DEDD-471D-8ACA-B7C576243A97}">
  <dimension ref="A1:E91"/>
  <sheetViews>
    <sheetView tabSelected="1" workbookViewId="0">
      <selection activeCell="G16" sqref="G16"/>
    </sheetView>
  </sheetViews>
  <sheetFormatPr defaultColWidth="13.5703125" defaultRowHeight="15"/>
  <cols>
    <col min="1" max="1" width="13.5703125" style="9"/>
    <col min="2" max="2" width="25.42578125" style="5" customWidth="1"/>
    <col min="3" max="3" width="16.7109375" style="5" customWidth="1"/>
    <col min="4" max="16384" width="13.5703125" style="5"/>
  </cols>
  <sheetData>
    <row r="1" spans="1:5">
      <c r="A1" s="7" t="s">
        <v>136</v>
      </c>
      <c r="B1" s="5" t="s">
        <v>1</v>
      </c>
      <c r="C1" s="5" t="s">
        <v>137</v>
      </c>
      <c r="D1" s="5" t="s">
        <v>138</v>
      </c>
      <c r="E1" s="5" t="s">
        <v>139</v>
      </c>
    </row>
    <row r="2" spans="1:5">
      <c r="A2" s="8">
        <v>44651</v>
      </c>
      <c r="B2" s="5" t="s">
        <v>15</v>
      </c>
      <c r="C2" s="5">
        <v>6.05</v>
      </c>
      <c r="D2" s="5">
        <v>605000</v>
      </c>
      <c r="E2" s="5">
        <v>186</v>
      </c>
    </row>
    <row r="3" spans="1:5">
      <c r="A3" s="8">
        <v>44651</v>
      </c>
      <c r="B3" s="5" t="s">
        <v>55</v>
      </c>
      <c r="C3" s="5">
        <v>4.6500000000000004</v>
      </c>
      <c r="D3" s="5">
        <v>465000</v>
      </c>
      <c r="E3" s="5">
        <v>216</v>
      </c>
    </row>
    <row r="4" spans="1:5">
      <c r="A4" s="8">
        <v>44651</v>
      </c>
      <c r="B4" s="5" t="s">
        <v>40</v>
      </c>
      <c r="C4" s="5">
        <v>4.3499999999999996</v>
      </c>
      <c r="D4" s="5">
        <v>435000</v>
      </c>
      <c r="E4" s="5">
        <v>195</v>
      </c>
    </row>
    <row r="5" spans="1:5">
      <c r="A5" s="8">
        <v>44651</v>
      </c>
      <c r="B5" s="5" t="s">
        <v>71</v>
      </c>
      <c r="C5" s="5">
        <v>2.7</v>
      </c>
      <c r="D5" s="5">
        <v>270000</v>
      </c>
      <c r="E5" s="5">
        <v>177</v>
      </c>
    </row>
    <row r="6" spans="1:5">
      <c r="A6" s="8">
        <v>44651</v>
      </c>
      <c r="B6" s="5" t="s">
        <v>84</v>
      </c>
      <c r="C6" s="5">
        <v>2.7</v>
      </c>
      <c r="D6" s="5">
        <v>270000</v>
      </c>
      <c r="E6" s="5">
        <v>168</v>
      </c>
    </row>
    <row r="7" spans="1:5">
      <c r="A7" s="8">
        <v>44651</v>
      </c>
      <c r="B7" s="5" t="s">
        <v>103</v>
      </c>
      <c r="C7" s="5">
        <v>2.78</v>
      </c>
      <c r="D7" s="5">
        <v>278000</v>
      </c>
      <c r="E7" s="5">
        <v>199</v>
      </c>
    </row>
    <row r="8" spans="1:5">
      <c r="A8" s="8">
        <v>44651</v>
      </c>
      <c r="B8" s="5" t="s">
        <v>94</v>
      </c>
      <c r="C8" s="5">
        <v>2.5</v>
      </c>
      <c r="D8" s="5">
        <v>250000</v>
      </c>
      <c r="E8" s="5">
        <v>95</v>
      </c>
    </row>
    <row r="9" spans="1:5">
      <c r="A9" s="8">
        <v>44651</v>
      </c>
      <c r="B9" s="5" t="s">
        <v>110</v>
      </c>
      <c r="C9" s="5">
        <v>2.2999999999999998</v>
      </c>
      <c r="D9" s="5">
        <v>230000</v>
      </c>
      <c r="E9" s="5">
        <v>142</v>
      </c>
    </row>
    <row r="10" spans="1:5">
      <c r="A10" s="8">
        <v>44651</v>
      </c>
      <c r="B10" s="5" t="s">
        <v>118</v>
      </c>
      <c r="C10" s="5">
        <v>1.05</v>
      </c>
      <c r="D10" s="5">
        <v>105000</v>
      </c>
      <c r="E10" s="5">
        <v>56</v>
      </c>
    </row>
    <row r="11" spans="1:5">
      <c r="A11" s="8">
        <v>44651</v>
      </c>
      <c r="B11" s="5" t="s">
        <v>128</v>
      </c>
      <c r="C11" s="5">
        <v>1.1000000000000001</v>
      </c>
      <c r="D11" s="5">
        <v>110000</v>
      </c>
      <c r="E11" s="5">
        <v>88</v>
      </c>
    </row>
    <row r="12" spans="1:5">
      <c r="A12" s="8">
        <v>44834</v>
      </c>
      <c r="B12" s="5" t="s">
        <v>15</v>
      </c>
      <c r="C12" s="5">
        <v>6.3</v>
      </c>
      <c r="D12" s="5">
        <v>630000</v>
      </c>
      <c r="E12" s="5">
        <v>186</v>
      </c>
    </row>
    <row r="13" spans="1:5">
      <c r="A13" s="8">
        <v>44834</v>
      </c>
      <c r="B13" s="5" t="s">
        <v>55</v>
      </c>
      <c r="C13" s="5">
        <v>4.88</v>
      </c>
      <c r="D13" s="5">
        <v>488000</v>
      </c>
      <c r="E13" s="5">
        <v>216</v>
      </c>
    </row>
    <row r="14" spans="1:5">
      <c r="A14" s="8">
        <v>44834</v>
      </c>
      <c r="B14" s="5" t="s">
        <v>40</v>
      </c>
      <c r="C14" s="5">
        <v>4.45</v>
      </c>
      <c r="D14" s="5">
        <v>445000</v>
      </c>
      <c r="E14" s="5">
        <v>195</v>
      </c>
    </row>
    <row r="15" spans="1:5">
      <c r="A15" s="8">
        <v>44834</v>
      </c>
      <c r="B15" s="5" t="s">
        <v>71</v>
      </c>
      <c r="C15" s="5">
        <v>2.78</v>
      </c>
      <c r="D15" s="5">
        <v>278000</v>
      </c>
      <c r="E15" s="5">
        <v>177</v>
      </c>
    </row>
    <row r="16" spans="1:5">
      <c r="A16" s="8">
        <v>44834</v>
      </c>
      <c r="B16" s="5" t="s">
        <v>84</v>
      </c>
      <c r="C16" s="5">
        <v>2.72</v>
      </c>
      <c r="D16" s="5">
        <v>272000</v>
      </c>
      <c r="E16" s="5">
        <v>168</v>
      </c>
    </row>
    <row r="17" spans="1:5">
      <c r="A17" s="8">
        <v>44834</v>
      </c>
      <c r="B17" s="5" t="s">
        <v>103</v>
      </c>
      <c r="C17" s="5">
        <v>2.85</v>
      </c>
      <c r="D17" s="5">
        <v>285000</v>
      </c>
      <c r="E17" s="5">
        <v>199</v>
      </c>
    </row>
    <row r="18" spans="1:5">
      <c r="A18" s="8">
        <v>44834</v>
      </c>
      <c r="B18" s="5" t="s">
        <v>94</v>
      </c>
      <c r="C18" s="5">
        <v>2.4</v>
      </c>
      <c r="D18" s="5">
        <v>240000</v>
      </c>
      <c r="E18" s="5">
        <v>95</v>
      </c>
    </row>
    <row r="19" spans="1:5">
      <c r="A19" s="8">
        <v>44834</v>
      </c>
      <c r="B19" s="5" t="s">
        <v>110</v>
      </c>
      <c r="C19" s="5">
        <v>2.3199999999999998</v>
      </c>
      <c r="D19" s="5">
        <v>232000</v>
      </c>
      <c r="E19" s="5">
        <v>142</v>
      </c>
    </row>
    <row r="20" spans="1:5">
      <c r="A20" s="8">
        <v>44834</v>
      </c>
      <c r="B20" s="5" t="s">
        <v>118</v>
      </c>
      <c r="C20" s="5">
        <v>1.08</v>
      </c>
      <c r="D20" s="5">
        <v>108000</v>
      </c>
      <c r="E20" s="5">
        <v>56</v>
      </c>
    </row>
    <row r="21" spans="1:5">
      <c r="A21" s="8">
        <v>44834</v>
      </c>
      <c r="B21" s="5" t="s">
        <v>128</v>
      </c>
      <c r="C21" s="5">
        <v>1.1200000000000001</v>
      </c>
      <c r="D21" s="5">
        <v>112000</v>
      </c>
      <c r="E21" s="5">
        <v>88</v>
      </c>
    </row>
    <row r="22" spans="1:5">
      <c r="A22" s="8">
        <v>45016</v>
      </c>
      <c r="B22" s="5" t="s">
        <v>15</v>
      </c>
      <c r="C22" s="5">
        <v>7.17</v>
      </c>
      <c r="D22" s="5">
        <v>717000</v>
      </c>
      <c r="E22" s="5">
        <v>186</v>
      </c>
    </row>
    <row r="23" spans="1:5">
      <c r="A23" s="8">
        <v>45016</v>
      </c>
      <c r="B23" s="5" t="s">
        <v>55</v>
      </c>
      <c r="C23" s="5">
        <v>5</v>
      </c>
      <c r="D23" s="5">
        <v>500000</v>
      </c>
      <c r="E23" s="5">
        <v>216</v>
      </c>
    </row>
    <row r="24" spans="1:5">
      <c r="A24" s="8">
        <v>45016</v>
      </c>
      <c r="B24" s="5" t="s">
        <v>40</v>
      </c>
      <c r="C24" s="5">
        <v>4.5</v>
      </c>
      <c r="D24" s="5">
        <v>450000</v>
      </c>
      <c r="E24" s="5">
        <v>195</v>
      </c>
    </row>
    <row r="25" spans="1:5">
      <c r="A25" s="8">
        <v>45016</v>
      </c>
      <c r="B25" s="5" t="s">
        <v>71</v>
      </c>
      <c r="C25" s="5">
        <v>2.93</v>
      </c>
      <c r="D25" s="5">
        <v>293000</v>
      </c>
      <c r="E25" s="5">
        <v>177</v>
      </c>
    </row>
    <row r="26" spans="1:5">
      <c r="A26" s="8">
        <v>45016</v>
      </c>
      <c r="B26" s="5" t="s">
        <v>84</v>
      </c>
      <c r="C26" s="5">
        <v>2.89</v>
      </c>
      <c r="D26" s="5">
        <v>289000</v>
      </c>
      <c r="E26" s="5">
        <v>168</v>
      </c>
    </row>
    <row r="27" spans="1:5">
      <c r="A27" s="8">
        <v>45016</v>
      </c>
      <c r="B27" s="5" t="s">
        <v>103</v>
      </c>
      <c r="C27" s="5">
        <v>2.75</v>
      </c>
      <c r="D27" s="5">
        <v>275000</v>
      </c>
      <c r="E27" s="5">
        <v>199</v>
      </c>
    </row>
    <row r="28" spans="1:5">
      <c r="A28" s="8">
        <v>45016</v>
      </c>
      <c r="B28" s="5" t="s">
        <v>94</v>
      </c>
      <c r="C28" s="5">
        <v>2.41</v>
      </c>
      <c r="D28" s="5">
        <v>241000</v>
      </c>
      <c r="E28" s="5">
        <v>95</v>
      </c>
    </row>
    <row r="29" spans="1:5">
      <c r="A29" s="8">
        <v>45016</v>
      </c>
      <c r="B29" s="5" t="s">
        <v>110</v>
      </c>
      <c r="C29" s="5">
        <v>2.39</v>
      </c>
      <c r="D29" s="5">
        <v>239000</v>
      </c>
      <c r="E29" s="5">
        <v>142</v>
      </c>
    </row>
    <row r="30" spans="1:5">
      <c r="A30" s="8">
        <v>45016</v>
      </c>
      <c r="B30" s="5" t="s">
        <v>118</v>
      </c>
      <c r="C30" s="5">
        <v>1.1599999999999999</v>
      </c>
      <c r="D30" s="5">
        <v>116000</v>
      </c>
      <c r="E30" s="5">
        <v>56</v>
      </c>
    </row>
    <row r="31" spans="1:5">
      <c r="A31" s="8">
        <v>45016</v>
      </c>
      <c r="B31" s="5" t="s">
        <v>128</v>
      </c>
      <c r="C31" s="5">
        <v>1.1499999999999999</v>
      </c>
      <c r="D31" s="5">
        <v>115000</v>
      </c>
      <c r="E31" s="5">
        <v>88</v>
      </c>
    </row>
    <row r="32" spans="1:5">
      <c r="A32" s="8">
        <v>45199</v>
      </c>
      <c r="B32" s="5" t="s">
        <v>15</v>
      </c>
      <c r="C32" s="5">
        <v>8.4499999999999993</v>
      </c>
      <c r="D32" s="5">
        <v>845000</v>
      </c>
      <c r="E32" s="5">
        <v>186</v>
      </c>
    </row>
    <row r="33" spans="1:5">
      <c r="A33" s="8">
        <v>45199</v>
      </c>
      <c r="B33" s="5" t="s">
        <v>55</v>
      </c>
      <c r="C33" s="5">
        <v>5.9</v>
      </c>
      <c r="D33" s="5">
        <v>590000</v>
      </c>
      <c r="E33" s="5">
        <v>216</v>
      </c>
    </row>
    <row r="34" spans="1:5">
      <c r="A34" s="8">
        <v>45199</v>
      </c>
      <c r="B34" s="5" t="s">
        <v>40</v>
      </c>
      <c r="C34" s="5">
        <v>5.35</v>
      </c>
      <c r="D34" s="5">
        <v>535000</v>
      </c>
      <c r="E34" s="5">
        <v>195</v>
      </c>
    </row>
    <row r="35" spans="1:5">
      <c r="A35" s="8">
        <v>45199</v>
      </c>
      <c r="B35" s="5" t="s">
        <v>71</v>
      </c>
      <c r="C35" s="5">
        <v>3.4</v>
      </c>
      <c r="D35" s="5">
        <v>340000</v>
      </c>
      <c r="E35" s="5">
        <v>177</v>
      </c>
    </row>
    <row r="36" spans="1:5">
      <c r="A36" s="8">
        <v>45199</v>
      </c>
      <c r="B36" s="5" t="s">
        <v>84</v>
      </c>
      <c r="C36" s="5">
        <v>3.25</v>
      </c>
      <c r="D36" s="5">
        <v>325000</v>
      </c>
      <c r="E36" s="5">
        <v>168</v>
      </c>
    </row>
    <row r="37" spans="1:5">
      <c r="A37" s="8">
        <v>45199</v>
      </c>
      <c r="B37" s="5" t="s">
        <v>103</v>
      </c>
      <c r="C37" s="5">
        <v>3.08</v>
      </c>
      <c r="D37" s="5">
        <v>308000</v>
      </c>
      <c r="E37" s="5">
        <v>199</v>
      </c>
    </row>
    <row r="38" spans="1:5">
      <c r="A38" s="8">
        <v>45199</v>
      </c>
      <c r="B38" s="5" t="s">
        <v>94</v>
      </c>
      <c r="C38" s="5">
        <v>2.6</v>
      </c>
      <c r="D38" s="5">
        <v>260000</v>
      </c>
      <c r="E38" s="5">
        <v>95</v>
      </c>
    </row>
    <row r="39" spans="1:5">
      <c r="A39" s="8">
        <v>45199</v>
      </c>
      <c r="B39" s="5" t="s">
        <v>110</v>
      </c>
      <c r="C39" s="5">
        <v>2.65</v>
      </c>
      <c r="D39" s="5">
        <v>265000</v>
      </c>
      <c r="E39" s="5">
        <v>142</v>
      </c>
    </row>
    <row r="40" spans="1:5">
      <c r="A40" s="8">
        <v>45199</v>
      </c>
      <c r="B40" s="5" t="s">
        <v>118</v>
      </c>
      <c r="C40" s="5">
        <v>1.42</v>
      </c>
      <c r="D40" s="5">
        <v>142000</v>
      </c>
      <c r="E40" s="5">
        <v>56</v>
      </c>
    </row>
    <row r="41" spans="1:5">
      <c r="A41" s="8">
        <v>45199</v>
      </c>
      <c r="B41" s="5" t="s">
        <v>128</v>
      </c>
      <c r="C41" s="5">
        <v>1.32</v>
      </c>
      <c r="D41" s="5">
        <v>132000</v>
      </c>
      <c r="E41" s="5">
        <v>88</v>
      </c>
    </row>
    <row r="42" spans="1:5">
      <c r="A42" s="8">
        <v>45382</v>
      </c>
      <c r="B42" s="5" t="s">
        <v>15</v>
      </c>
      <c r="C42" s="5">
        <v>10</v>
      </c>
      <c r="D42" s="5">
        <v>1000000</v>
      </c>
      <c r="E42" s="5">
        <v>186</v>
      </c>
    </row>
    <row r="43" spans="1:5">
      <c r="A43" s="8">
        <v>45382</v>
      </c>
      <c r="B43" s="5" t="s">
        <v>55</v>
      </c>
      <c r="C43" s="5">
        <v>6.8</v>
      </c>
      <c r="D43" s="5">
        <v>680000</v>
      </c>
      <c r="E43" s="5">
        <v>216</v>
      </c>
    </row>
    <row r="44" spans="1:5">
      <c r="A44" s="8">
        <v>45382</v>
      </c>
      <c r="B44" s="5" t="s">
        <v>40</v>
      </c>
      <c r="C44" s="5">
        <v>6.45</v>
      </c>
      <c r="D44" s="5">
        <v>645000</v>
      </c>
      <c r="E44" s="5">
        <v>195</v>
      </c>
    </row>
    <row r="45" spans="1:5">
      <c r="A45" s="8">
        <v>45382</v>
      </c>
      <c r="B45" s="5" t="s">
        <v>71</v>
      </c>
      <c r="C45" s="5">
        <v>4.3</v>
      </c>
      <c r="D45" s="5">
        <v>430000</v>
      </c>
      <c r="E45" s="5">
        <v>177</v>
      </c>
    </row>
    <row r="46" spans="1:5">
      <c r="A46" s="8">
        <v>45382</v>
      </c>
      <c r="B46" s="5" t="s">
        <v>84</v>
      </c>
      <c r="C46" s="5">
        <v>3.8</v>
      </c>
      <c r="D46" s="5">
        <v>380000</v>
      </c>
      <c r="E46" s="5">
        <v>168</v>
      </c>
    </row>
    <row r="47" spans="1:5">
      <c r="A47" s="8">
        <v>45382</v>
      </c>
      <c r="B47" s="5" t="s">
        <v>103</v>
      </c>
      <c r="C47" s="5">
        <v>3.4</v>
      </c>
      <c r="D47" s="5">
        <v>340000</v>
      </c>
      <c r="E47" s="5">
        <v>199</v>
      </c>
    </row>
    <row r="48" spans="1:5">
      <c r="A48" s="8">
        <v>45382</v>
      </c>
      <c r="B48" s="5" t="s">
        <v>94</v>
      </c>
      <c r="C48" s="5">
        <v>2.8</v>
      </c>
      <c r="D48" s="5">
        <v>280000</v>
      </c>
      <c r="E48" s="5">
        <v>95</v>
      </c>
    </row>
    <row r="49" spans="1:5">
      <c r="A49" s="8">
        <v>45382</v>
      </c>
      <c r="B49" s="5" t="s">
        <v>110</v>
      </c>
      <c r="C49" s="5">
        <v>2.9</v>
      </c>
      <c r="D49" s="5">
        <v>290000</v>
      </c>
      <c r="E49" s="5">
        <v>142</v>
      </c>
    </row>
    <row r="50" spans="1:5">
      <c r="A50" s="8">
        <v>45382</v>
      </c>
      <c r="B50" s="5" t="s">
        <v>118</v>
      </c>
      <c r="C50" s="5">
        <v>1.75</v>
      </c>
      <c r="D50" s="5">
        <v>175000</v>
      </c>
      <c r="E50" s="5">
        <v>56</v>
      </c>
    </row>
    <row r="51" spans="1:5">
      <c r="A51" s="8">
        <v>45382</v>
      </c>
      <c r="B51" s="5" t="s">
        <v>128</v>
      </c>
      <c r="C51" s="5">
        <v>1.55</v>
      </c>
      <c r="D51" s="5">
        <v>155000</v>
      </c>
      <c r="E51" s="5">
        <v>88</v>
      </c>
    </row>
    <row r="52" spans="1:5">
      <c r="A52" s="8">
        <v>45565</v>
      </c>
      <c r="B52" s="5" t="s">
        <v>15</v>
      </c>
      <c r="C52" s="5">
        <v>10.8</v>
      </c>
      <c r="D52" s="5">
        <v>1080000</v>
      </c>
      <c r="E52" s="5">
        <v>186</v>
      </c>
    </row>
    <row r="53" spans="1:5">
      <c r="A53" s="8">
        <v>45565</v>
      </c>
      <c r="B53" s="5" t="s">
        <v>55</v>
      </c>
      <c r="C53" s="5">
        <v>7.42</v>
      </c>
      <c r="D53" s="5">
        <v>742000</v>
      </c>
      <c r="E53" s="5">
        <v>216</v>
      </c>
    </row>
    <row r="54" spans="1:5">
      <c r="A54" s="8">
        <v>45565</v>
      </c>
      <c r="B54" s="5" t="s">
        <v>40</v>
      </c>
      <c r="C54" s="5">
        <v>7.1</v>
      </c>
      <c r="D54" s="5">
        <v>710000</v>
      </c>
      <c r="E54" s="5">
        <v>195</v>
      </c>
    </row>
    <row r="55" spans="1:5">
      <c r="A55" s="8">
        <v>45565</v>
      </c>
      <c r="B55" s="5" t="s">
        <v>71</v>
      </c>
      <c r="C55" s="5">
        <v>4.68</v>
      </c>
      <c r="D55" s="5">
        <v>468000</v>
      </c>
      <c r="E55" s="5">
        <v>177</v>
      </c>
    </row>
    <row r="56" spans="1:5">
      <c r="A56" s="8">
        <v>45565</v>
      </c>
      <c r="B56" s="5" t="s">
        <v>84</v>
      </c>
      <c r="C56" s="5">
        <v>4.05</v>
      </c>
      <c r="D56" s="5">
        <v>405000</v>
      </c>
      <c r="E56" s="5">
        <v>168</v>
      </c>
    </row>
    <row r="57" spans="1:5">
      <c r="A57" s="8">
        <v>45565</v>
      </c>
      <c r="B57" s="5" t="s">
        <v>103</v>
      </c>
      <c r="C57" s="5">
        <v>3.62</v>
      </c>
      <c r="D57" s="5">
        <v>362000</v>
      </c>
      <c r="E57" s="5">
        <v>199</v>
      </c>
    </row>
    <row r="58" spans="1:5">
      <c r="A58" s="8">
        <v>45565</v>
      </c>
      <c r="B58" s="5" t="s">
        <v>94</v>
      </c>
      <c r="C58" s="5">
        <v>2.9</v>
      </c>
      <c r="D58" s="5">
        <v>290000</v>
      </c>
      <c r="E58" s="5">
        <v>95</v>
      </c>
    </row>
    <row r="59" spans="1:5">
      <c r="A59" s="8">
        <v>45565</v>
      </c>
      <c r="B59" s="5" t="s">
        <v>110</v>
      </c>
      <c r="C59" s="5">
        <v>3.08</v>
      </c>
      <c r="D59" s="5">
        <v>308000</v>
      </c>
      <c r="E59" s="5">
        <v>142</v>
      </c>
    </row>
    <row r="60" spans="1:5">
      <c r="A60" s="8">
        <v>45565</v>
      </c>
      <c r="B60" s="5" t="s">
        <v>118</v>
      </c>
      <c r="C60" s="5">
        <v>1.9</v>
      </c>
      <c r="D60" s="5">
        <v>190000</v>
      </c>
      <c r="E60" s="5">
        <v>56</v>
      </c>
    </row>
    <row r="61" spans="1:5">
      <c r="A61" s="8">
        <v>45565</v>
      </c>
      <c r="B61" s="5" t="s">
        <v>128</v>
      </c>
      <c r="C61" s="5">
        <v>1.72</v>
      </c>
      <c r="D61" s="5">
        <v>172000</v>
      </c>
      <c r="E61" s="5">
        <v>88</v>
      </c>
    </row>
    <row r="62" spans="1:5">
      <c r="A62" s="8">
        <v>45657</v>
      </c>
      <c r="B62" s="5" t="s">
        <v>15</v>
      </c>
      <c r="C62" s="5">
        <v>11.14</v>
      </c>
      <c r="D62" s="5">
        <v>1114000</v>
      </c>
      <c r="E62" s="5">
        <v>186</v>
      </c>
    </row>
    <row r="63" spans="1:5">
      <c r="A63" s="8">
        <v>45657</v>
      </c>
      <c r="B63" s="5" t="s">
        <v>55</v>
      </c>
      <c r="C63" s="5">
        <v>8.74</v>
      </c>
      <c r="D63" s="5">
        <v>874000</v>
      </c>
      <c r="E63" s="5">
        <v>216</v>
      </c>
    </row>
    <row r="64" spans="1:5">
      <c r="A64" s="8">
        <v>45657</v>
      </c>
      <c r="B64" s="5" t="s">
        <v>40</v>
      </c>
      <c r="C64" s="5">
        <v>7.87</v>
      </c>
      <c r="D64" s="5">
        <v>787000</v>
      </c>
      <c r="E64" s="5">
        <v>195</v>
      </c>
    </row>
    <row r="65" spans="1:5">
      <c r="A65" s="8">
        <v>45657</v>
      </c>
      <c r="B65" s="5" t="s">
        <v>71</v>
      </c>
      <c r="C65" s="5">
        <v>5.7</v>
      </c>
      <c r="D65" s="5">
        <v>570000</v>
      </c>
      <c r="E65" s="5">
        <v>177</v>
      </c>
    </row>
    <row r="66" spans="1:5">
      <c r="A66" s="8">
        <v>45657</v>
      </c>
      <c r="B66" s="5" t="s">
        <v>84</v>
      </c>
      <c r="C66" s="5">
        <v>4.8899999999999997</v>
      </c>
      <c r="D66" s="5">
        <v>489000</v>
      </c>
      <c r="E66" s="5">
        <v>168</v>
      </c>
    </row>
    <row r="67" spans="1:5">
      <c r="A67" s="8">
        <v>45657</v>
      </c>
      <c r="B67" s="5" t="s">
        <v>103</v>
      </c>
      <c r="C67" s="5">
        <v>3.84</v>
      </c>
      <c r="D67" s="5">
        <v>384000</v>
      </c>
      <c r="E67" s="5">
        <v>199</v>
      </c>
    </row>
    <row r="68" spans="1:5">
      <c r="A68" s="8">
        <v>45657</v>
      </c>
      <c r="B68" s="5" t="s">
        <v>94</v>
      </c>
      <c r="C68" s="5">
        <v>3</v>
      </c>
      <c r="D68" s="5">
        <v>300000</v>
      </c>
      <c r="E68" s="5">
        <v>95</v>
      </c>
    </row>
    <row r="69" spans="1:5">
      <c r="A69" s="8">
        <v>45657</v>
      </c>
      <c r="B69" s="5" t="s">
        <v>110</v>
      </c>
      <c r="C69" s="5">
        <v>3.52</v>
      </c>
      <c r="D69" s="5">
        <v>352000</v>
      </c>
      <c r="E69" s="5">
        <v>142</v>
      </c>
    </row>
    <row r="70" spans="1:5">
      <c r="A70" s="8">
        <v>45657</v>
      </c>
      <c r="B70" s="5" t="s">
        <v>118</v>
      </c>
      <c r="C70" s="5">
        <v>2.1</v>
      </c>
      <c r="D70" s="5">
        <v>210000</v>
      </c>
      <c r="E70" s="5">
        <v>56</v>
      </c>
    </row>
    <row r="71" spans="1:5">
      <c r="A71" s="8">
        <v>45657</v>
      </c>
      <c r="B71" s="5" t="s">
        <v>128</v>
      </c>
      <c r="C71" s="5">
        <v>1.88</v>
      </c>
      <c r="D71" s="5">
        <v>188000</v>
      </c>
      <c r="E71" s="5">
        <v>88</v>
      </c>
    </row>
    <row r="72" spans="1:5">
      <c r="A72" s="8">
        <v>45747</v>
      </c>
      <c r="B72" s="5" t="s">
        <v>15</v>
      </c>
      <c r="C72" s="5">
        <v>12.5</v>
      </c>
      <c r="D72" s="5">
        <v>1250000</v>
      </c>
      <c r="E72" s="5">
        <v>186</v>
      </c>
    </row>
    <row r="73" spans="1:5">
      <c r="A73" s="8">
        <v>45747</v>
      </c>
      <c r="B73" s="5" t="s">
        <v>55</v>
      </c>
      <c r="C73" s="5">
        <v>8.8000000000000007</v>
      </c>
      <c r="D73" s="5">
        <v>880000</v>
      </c>
      <c r="E73" s="5">
        <v>216</v>
      </c>
    </row>
    <row r="74" spans="1:5">
      <c r="A74" s="8">
        <v>45747</v>
      </c>
      <c r="B74" s="5" t="s">
        <v>40</v>
      </c>
      <c r="C74" s="5">
        <v>7.95</v>
      </c>
      <c r="D74" s="5">
        <v>795000</v>
      </c>
      <c r="E74" s="5">
        <v>195</v>
      </c>
    </row>
    <row r="75" spans="1:5">
      <c r="A75" s="8">
        <v>45747</v>
      </c>
      <c r="B75" s="5" t="s">
        <v>71</v>
      </c>
      <c r="C75" s="5">
        <v>5.6</v>
      </c>
      <c r="D75" s="5">
        <v>560000</v>
      </c>
      <c r="E75" s="5">
        <v>177</v>
      </c>
    </row>
    <row r="76" spans="1:5">
      <c r="A76" s="8">
        <v>45747</v>
      </c>
      <c r="B76" s="5" t="s">
        <v>84</v>
      </c>
      <c r="C76" s="5">
        <v>4.92</v>
      </c>
      <c r="D76" s="5">
        <v>492000</v>
      </c>
      <c r="E76" s="5">
        <v>168</v>
      </c>
    </row>
    <row r="77" spans="1:5">
      <c r="A77" s="8">
        <v>45747</v>
      </c>
      <c r="B77" s="5" t="s">
        <v>103</v>
      </c>
      <c r="C77" s="5">
        <v>3.85</v>
      </c>
      <c r="D77" s="5">
        <v>385000</v>
      </c>
      <c r="E77" s="5">
        <v>199</v>
      </c>
    </row>
    <row r="78" spans="1:5">
      <c r="A78" s="8">
        <v>45747</v>
      </c>
      <c r="B78" s="5" t="s">
        <v>94</v>
      </c>
      <c r="C78" s="5">
        <v>3.1</v>
      </c>
      <c r="D78" s="5">
        <v>310000</v>
      </c>
      <c r="E78" s="5">
        <v>95</v>
      </c>
    </row>
    <row r="79" spans="1:5">
      <c r="A79" s="8">
        <v>45747</v>
      </c>
      <c r="B79" s="5" t="s">
        <v>110</v>
      </c>
      <c r="C79" s="5">
        <v>3.55</v>
      </c>
      <c r="D79" s="5">
        <v>355000</v>
      </c>
      <c r="E79" s="5">
        <v>142</v>
      </c>
    </row>
    <row r="80" spans="1:5">
      <c r="A80" s="8">
        <v>45747</v>
      </c>
      <c r="B80" s="5" t="s">
        <v>118</v>
      </c>
      <c r="C80" s="5">
        <v>2.25</v>
      </c>
      <c r="D80" s="5">
        <v>225000</v>
      </c>
      <c r="E80" s="5">
        <v>56</v>
      </c>
    </row>
    <row r="81" spans="1:5">
      <c r="A81" s="8">
        <v>45747</v>
      </c>
      <c r="B81" s="5" t="s">
        <v>128</v>
      </c>
      <c r="C81" s="5">
        <v>1.95</v>
      </c>
      <c r="D81" s="5">
        <v>195000</v>
      </c>
      <c r="E81" s="5">
        <v>88</v>
      </c>
    </row>
    <row r="82" spans="1:5">
      <c r="A82" s="8">
        <v>46022</v>
      </c>
      <c r="B82" s="5" t="s">
        <v>15</v>
      </c>
      <c r="C82" s="5">
        <v>12.5</v>
      </c>
      <c r="D82" s="5">
        <v>1250000</v>
      </c>
      <c r="E82" s="5">
        <v>186</v>
      </c>
    </row>
    <row r="83" spans="1:5">
      <c r="A83" s="8">
        <v>46022</v>
      </c>
      <c r="B83" s="5" t="s">
        <v>55</v>
      </c>
      <c r="C83" s="5">
        <v>10.74</v>
      </c>
      <c r="D83" s="5">
        <v>1074000</v>
      </c>
      <c r="E83" s="5">
        <v>216</v>
      </c>
    </row>
    <row r="84" spans="1:5">
      <c r="A84" s="8">
        <v>46022</v>
      </c>
      <c r="B84" s="5" t="s">
        <v>40</v>
      </c>
      <c r="C84" s="5">
        <v>9.3000000000000007</v>
      </c>
      <c r="D84" s="5">
        <v>930000</v>
      </c>
      <c r="E84" s="5">
        <v>195</v>
      </c>
    </row>
    <row r="85" spans="1:5">
      <c r="A85" s="8">
        <v>46022</v>
      </c>
      <c r="B85" s="5" t="s">
        <v>71</v>
      </c>
      <c r="C85" s="5">
        <v>7</v>
      </c>
      <c r="D85" s="5">
        <v>700000</v>
      </c>
      <c r="E85" s="5">
        <v>177</v>
      </c>
    </row>
    <row r="86" spans="1:5">
      <c r="A86" s="8">
        <v>46022</v>
      </c>
      <c r="B86" s="5" t="s">
        <v>84</v>
      </c>
      <c r="C86" s="5">
        <v>5.8</v>
      </c>
      <c r="D86" s="5">
        <v>580000</v>
      </c>
      <c r="E86" s="5">
        <v>168</v>
      </c>
    </row>
    <row r="87" spans="1:5">
      <c r="A87" s="8">
        <v>46022</v>
      </c>
      <c r="B87" s="5" t="s">
        <v>103</v>
      </c>
      <c r="C87" s="5">
        <v>4.5999999999999996</v>
      </c>
      <c r="D87" s="5">
        <v>460000</v>
      </c>
      <c r="E87" s="5">
        <v>199</v>
      </c>
    </row>
    <row r="88" spans="1:5">
      <c r="A88" s="8">
        <v>46022</v>
      </c>
      <c r="B88" s="5" t="s">
        <v>94</v>
      </c>
      <c r="C88" s="5">
        <v>3.5</v>
      </c>
      <c r="D88" s="5">
        <v>350000</v>
      </c>
      <c r="E88" s="5">
        <v>95</v>
      </c>
    </row>
    <row r="89" spans="1:5">
      <c r="A89" s="8">
        <v>46022</v>
      </c>
      <c r="B89" s="5" t="s">
        <v>110</v>
      </c>
      <c r="C89" s="5">
        <v>4.0999999999999996</v>
      </c>
      <c r="D89" s="5">
        <v>410000</v>
      </c>
      <c r="E89" s="5">
        <v>142</v>
      </c>
    </row>
    <row r="90" spans="1:5">
      <c r="A90" s="8">
        <v>46022</v>
      </c>
      <c r="B90" s="5" t="s">
        <v>118</v>
      </c>
      <c r="C90" s="5">
        <v>2.9</v>
      </c>
      <c r="D90" s="5">
        <v>290000</v>
      </c>
      <c r="E90" s="5">
        <v>56</v>
      </c>
    </row>
    <row r="91" spans="1:5">
      <c r="A91" s="8">
        <v>46022</v>
      </c>
      <c r="B91" s="5" t="s">
        <v>128</v>
      </c>
      <c r="C91" s="5">
        <v>2.2999999999999998</v>
      </c>
      <c r="D91" s="5">
        <v>230000</v>
      </c>
      <c r="E91" s="5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81B0-B7D1-48D8-8B67-7CCE3707767E}">
  <dimension ref="A1:B14"/>
  <sheetViews>
    <sheetView workbookViewId="0">
      <selection activeCell="C17" sqref="A1:C17"/>
    </sheetView>
  </sheetViews>
  <sheetFormatPr defaultRowHeight="15"/>
  <cols>
    <col min="1" max="1" width="22.140625" bestFit="1" customWidth="1"/>
    <col min="2" max="2" width="17.85546875" bestFit="1" customWidth="1"/>
  </cols>
  <sheetData>
    <row r="1" spans="1:2">
      <c r="A1" s="19" t="s">
        <v>136</v>
      </c>
      <c r="B1" s="6">
        <v>46022</v>
      </c>
    </row>
    <row r="3" spans="1:2">
      <c r="A3" s="19" t="s">
        <v>1</v>
      </c>
      <c r="B3" t="s">
        <v>140</v>
      </c>
    </row>
    <row r="4" spans="1:2">
      <c r="A4" t="s">
        <v>103</v>
      </c>
      <c r="B4" s="20">
        <v>460000</v>
      </c>
    </row>
    <row r="5" spans="1:2">
      <c r="A5" t="s">
        <v>94</v>
      </c>
      <c r="B5" s="20">
        <v>350000</v>
      </c>
    </row>
    <row r="6" spans="1:2">
      <c r="A6" t="s">
        <v>128</v>
      </c>
      <c r="B6" s="20">
        <v>230000</v>
      </c>
    </row>
    <row r="7" spans="1:2">
      <c r="A7" t="s">
        <v>40</v>
      </c>
      <c r="B7" s="20">
        <v>930000</v>
      </c>
    </row>
    <row r="8" spans="1:2">
      <c r="A8" t="s">
        <v>55</v>
      </c>
      <c r="B8" s="20">
        <v>1074000</v>
      </c>
    </row>
    <row r="9" spans="1:2">
      <c r="A9" t="s">
        <v>84</v>
      </c>
      <c r="B9" s="20">
        <v>580000</v>
      </c>
    </row>
    <row r="10" spans="1:2">
      <c r="A10" t="s">
        <v>118</v>
      </c>
      <c r="B10" s="20">
        <v>290000</v>
      </c>
    </row>
    <row r="11" spans="1:2">
      <c r="A11" t="s">
        <v>71</v>
      </c>
      <c r="B11" s="20">
        <v>700000</v>
      </c>
    </row>
    <row r="12" spans="1:2">
      <c r="A12" t="s">
        <v>15</v>
      </c>
      <c r="B12" s="20">
        <v>1250000</v>
      </c>
    </row>
    <row r="13" spans="1:2">
      <c r="A13" t="s">
        <v>110</v>
      </c>
      <c r="B13" s="20">
        <v>410000</v>
      </c>
    </row>
    <row r="14" spans="1:2">
      <c r="A14" t="s">
        <v>135</v>
      </c>
      <c r="B14" s="20">
        <v>6274000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CD0BC-EBA2-4520-BE0A-3B909CE97E86}">
  <dimension ref="A1:F49"/>
  <sheetViews>
    <sheetView workbookViewId="0">
      <selection activeCell="B1" activeCellId="1" sqref="A1:A1048576 B1:B1048576"/>
    </sheetView>
  </sheetViews>
  <sheetFormatPr defaultRowHeight="15"/>
  <cols>
    <col min="1" max="1" width="9.140625" style="10"/>
    <col min="2" max="2" width="15.85546875" customWidth="1"/>
    <col min="3" max="3" width="23.42578125" customWidth="1"/>
    <col min="4" max="4" width="21.85546875" customWidth="1"/>
    <col min="5" max="5" width="20.42578125" customWidth="1"/>
    <col min="6" max="6" width="16.140625" customWidth="1"/>
  </cols>
  <sheetData>
    <row r="1" spans="1:6">
      <c r="A1" s="7" t="s">
        <v>141</v>
      </c>
      <c r="B1" s="5" t="s">
        <v>142</v>
      </c>
      <c r="C1" s="5" t="s">
        <v>143</v>
      </c>
      <c r="D1" s="5" t="s">
        <v>144</v>
      </c>
      <c r="E1" s="5" t="s">
        <v>145</v>
      </c>
      <c r="F1" s="5" t="s">
        <v>146</v>
      </c>
    </row>
    <row r="2" spans="1:6">
      <c r="A2" s="7" t="s">
        <v>147</v>
      </c>
      <c r="B2" s="5">
        <v>11517</v>
      </c>
      <c r="C2" s="5">
        <v>4.91</v>
      </c>
      <c r="D2" s="5">
        <v>9.1</v>
      </c>
      <c r="E2" s="5">
        <v>4.8</v>
      </c>
      <c r="F2" s="5"/>
    </row>
    <row r="3" spans="1:6">
      <c r="A3" s="7" t="s">
        <v>148</v>
      </c>
      <c r="B3" s="5">
        <v>11438</v>
      </c>
      <c r="C3" s="5">
        <v>4.93</v>
      </c>
      <c r="D3" s="5">
        <v>8.1999999999999993</v>
      </c>
      <c r="E3" s="5">
        <v>4.8499999999999996</v>
      </c>
      <c r="F3" s="5"/>
    </row>
    <row r="4" spans="1:6">
      <c r="A4" s="7" t="s">
        <v>149</v>
      </c>
      <c r="B4" s="5">
        <v>12328</v>
      </c>
      <c r="C4" s="5">
        <v>5.09</v>
      </c>
      <c r="D4" s="5">
        <v>10.5</v>
      </c>
      <c r="E4" s="5">
        <v>5.01</v>
      </c>
      <c r="F4" s="5"/>
    </row>
    <row r="5" spans="1:6">
      <c r="A5" s="7" t="s">
        <v>150</v>
      </c>
      <c r="B5" s="5">
        <v>11863</v>
      </c>
      <c r="C5" s="5">
        <v>5.48</v>
      </c>
      <c r="D5" s="5">
        <v>9.52</v>
      </c>
      <c r="E5" s="5">
        <v>5.12</v>
      </c>
      <c r="F5" s="5"/>
    </row>
    <row r="6" spans="1:6">
      <c r="A6" s="7" t="s">
        <v>151</v>
      </c>
      <c r="B6" s="5">
        <v>12286</v>
      </c>
      <c r="C6" s="5">
        <v>5.55</v>
      </c>
      <c r="D6" s="5">
        <v>8.1</v>
      </c>
      <c r="E6" s="5">
        <v>5.15</v>
      </c>
      <c r="F6" s="5"/>
    </row>
    <row r="7" spans="1:6">
      <c r="A7" s="7" t="s">
        <v>152</v>
      </c>
      <c r="B7" s="5">
        <v>12276</v>
      </c>
      <c r="C7" s="5">
        <v>5.6</v>
      </c>
      <c r="D7" s="5">
        <v>7.5</v>
      </c>
      <c r="E7" s="5">
        <v>5.18</v>
      </c>
      <c r="F7" s="5"/>
    </row>
    <row r="8" spans="1:6">
      <c r="A8" s="7" t="s">
        <v>153</v>
      </c>
      <c r="B8" s="5">
        <v>12140</v>
      </c>
      <c r="C8" s="5">
        <v>5.65</v>
      </c>
      <c r="D8" s="5">
        <v>9.2100000000000009</v>
      </c>
      <c r="E8" s="5">
        <v>5.25</v>
      </c>
      <c r="F8" s="5"/>
    </row>
    <row r="9" spans="1:6">
      <c r="A9" s="7" t="s">
        <v>154</v>
      </c>
      <c r="B9" s="5">
        <v>12694</v>
      </c>
      <c r="C9" s="5">
        <v>5.71</v>
      </c>
      <c r="D9" s="5">
        <v>8.9</v>
      </c>
      <c r="E9" s="5">
        <v>5.31</v>
      </c>
      <c r="F9" s="5"/>
    </row>
    <row r="10" spans="1:6">
      <c r="A10" s="7" t="s">
        <v>155</v>
      </c>
      <c r="B10" s="5">
        <v>12976</v>
      </c>
      <c r="C10" s="5">
        <v>5.8</v>
      </c>
      <c r="D10" s="5">
        <v>9.4</v>
      </c>
      <c r="E10" s="5">
        <v>5.41</v>
      </c>
      <c r="F10" s="5"/>
    </row>
    <row r="11" spans="1:6">
      <c r="A11" s="7" t="s">
        <v>156</v>
      </c>
      <c r="B11" s="5">
        <v>13040</v>
      </c>
      <c r="C11" s="5">
        <v>5.93</v>
      </c>
      <c r="D11" s="5">
        <v>9.52</v>
      </c>
      <c r="E11" s="5">
        <v>5.55</v>
      </c>
      <c r="F11" s="5"/>
    </row>
    <row r="12" spans="1:6">
      <c r="A12" s="7" t="s">
        <v>157</v>
      </c>
      <c r="B12" s="5">
        <v>13306</v>
      </c>
      <c r="C12" s="5">
        <v>6</v>
      </c>
      <c r="D12" s="5">
        <v>8.8000000000000007</v>
      </c>
      <c r="E12" s="5">
        <v>5.62</v>
      </c>
      <c r="F12" s="5"/>
    </row>
    <row r="13" spans="1:6">
      <c r="A13" s="7" t="s">
        <v>158</v>
      </c>
      <c r="B13" s="5">
        <v>13573</v>
      </c>
      <c r="C13" s="5">
        <v>6.05</v>
      </c>
      <c r="D13" s="5">
        <v>7.6</v>
      </c>
      <c r="E13" s="5">
        <v>5.7</v>
      </c>
      <c r="F13" s="5"/>
    </row>
    <row r="14" spans="1:6">
      <c r="A14" s="7" t="s">
        <v>159</v>
      </c>
      <c r="B14" s="5">
        <v>13856</v>
      </c>
      <c r="C14" s="5">
        <v>6.13</v>
      </c>
      <c r="D14" s="5">
        <v>9.1</v>
      </c>
      <c r="E14" s="5">
        <v>5.82</v>
      </c>
      <c r="F14" s="5">
        <v>20.309999999999999</v>
      </c>
    </row>
    <row r="15" spans="1:6">
      <c r="A15" s="7" t="s">
        <v>160</v>
      </c>
      <c r="B15" s="5">
        <v>13687</v>
      </c>
      <c r="C15" s="5">
        <v>6.19</v>
      </c>
      <c r="D15" s="5">
        <v>8.1999999999999993</v>
      </c>
      <c r="E15" s="5">
        <v>5.88</v>
      </c>
      <c r="F15" s="5">
        <v>19.66</v>
      </c>
    </row>
    <row r="16" spans="1:6">
      <c r="A16" s="7" t="s">
        <v>161</v>
      </c>
      <c r="B16" s="5">
        <v>14276</v>
      </c>
      <c r="C16" s="5">
        <v>6.32</v>
      </c>
      <c r="D16" s="5">
        <v>10</v>
      </c>
      <c r="E16" s="5">
        <v>6.01</v>
      </c>
      <c r="F16" s="5">
        <v>15.8</v>
      </c>
    </row>
    <row r="17" spans="1:6">
      <c r="A17" s="7" t="s">
        <v>162</v>
      </c>
      <c r="B17" s="5">
        <v>14749</v>
      </c>
      <c r="C17" s="5">
        <v>6.41</v>
      </c>
      <c r="D17" s="5">
        <v>9.25</v>
      </c>
      <c r="E17" s="5">
        <v>6.15</v>
      </c>
      <c r="F17" s="5">
        <v>24.33</v>
      </c>
    </row>
    <row r="18" spans="1:6">
      <c r="A18" s="7" t="s">
        <v>163</v>
      </c>
      <c r="B18" s="5">
        <v>14749</v>
      </c>
      <c r="C18" s="5">
        <v>6.5</v>
      </c>
      <c r="D18" s="5">
        <v>8.6999999999999993</v>
      </c>
      <c r="E18" s="5">
        <v>6.22</v>
      </c>
      <c r="F18" s="5">
        <v>20.05</v>
      </c>
    </row>
    <row r="19" spans="1:6">
      <c r="A19" s="7" t="s">
        <v>164</v>
      </c>
      <c r="B19" s="5">
        <v>14734</v>
      </c>
      <c r="C19" s="5">
        <v>6.55</v>
      </c>
      <c r="D19" s="5">
        <v>7.9</v>
      </c>
      <c r="E19" s="5">
        <v>6.3</v>
      </c>
      <c r="F19" s="5">
        <v>20.02</v>
      </c>
    </row>
    <row r="20" spans="1:6">
      <c r="A20" s="7" t="s">
        <v>165</v>
      </c>
      <c r="B20" s="5">
        <v>15245</v>
      </c>
      <c r="C20" s="5">
        <v>6.65</v>
      </c>
      <c r="D20" s="5">
        <v>9.8000000000000007</v>
      </c>
      <c r="E20" s="5">
        <v>6.45</v>
      </c>
      <c r="F20" s="5">
        <v>25.58</v>
      </c>
    </row>
    <row r="21" spans="1:6">
      <c r="A21" s="7" t="s">
        <v>166</v>
      </c>
      <c r="B21" s="5">
        <v>15814</v>
      </c>
      <c r="C21" s="5">
        <v>6.73</v>
      </c>
      <c r="D21" s="5">
        <v>9.1</v>
      </c>
      <c r="E21" s="5">
        <v>6.58</v>
      </c>
      <c r="F21" s="5">
        <v>24.58</v>
      </c>
    </row>
    <row r="22" spans="1:6">
      <c r="A22" s="7" t="s">
        <v>167</v>
      </c>
      <c r="B22" s="5">
        <v>16042</v>
      </c>
      <c r="C22" s="5">
        <v>6.82</v>
      </c>
      <c r="D22" s="5">
        <v>10.199999999999999</v>
      </c>
      <c r="E22" s="5">
        <v>6.72</v>
      </c>
      <c r="F22" s="5">
        <v>23.63</v>
      </c>
    </row>
    <row r="23" spans="1:6">
      <c r="A23" s="7" t="s">
        <v>168</v>
      </c>
      <c r="B23" s="5">
        <v>16928</v>
      </c>
      <c r="C23" s="5">
        <v>6.91</v>
      </c>
      <c r="D23" s="5">
        <v>9.5</v>
      </c>
      <c r="E23" s="5">
        <v>6.9</v>
      </c>
      <c r="F23" s="5">
        <v>29.82</v>
      </c>
    </row>
    <row r="24" spans="1:6">
      <c r="A24" s="7" t="s">
        <v>169</v>
      </c>
      <c r="B24" s="5">
        <v>17073</v>
      </c>
      <c r="C24" s="5">
        <v>7</v>
      </c>
      <c r="D24" s="5">
        <v>8.8000000000000007</v>
      </c>
      <c r="E24" s="5">
        <v>7.05</v>
      </c>
      <c r="F24" s="5">
        <v>28.31</v>
      </c>
    </row>
    <row r="25" spans="1:6">
      <c r="A25" s="7" t="s">
        <v>170</v>
      </c>
      <c r="B25" s="5">
        <v>17610</v>
      </c>
      <c r="C25" s="5">
        <v>7.1</v>
      </c>
      <c r="D25" s="5">
        <v>8.4</v>
      </c>
      <c r="E25" s="5">
        <v>7.18</v>
      </c>
      <c r="F25" s="5">
        <v>29.74</v>
      </c>
    </row>
    <row r="26" spans="1:6">
      <c r="A26" s="7" t="s">
        <v>171</v>
      </c>
      <c r="B26" s="5">
        <v>18838</v>
      </c>
      <c r="C26" s="5">
        <v>7.2</v>
      </c>
      <c r="D26" s="5">
        <v>9.6</v>
      </c>
      <c r="E26" s="5">
        <v>7.35</v>
      </c>
      <c r="F26" s="5">
        <v>35.96</v>
      </c>
    </row>
    <row r="27" spans="1:6">
      <c r="A27" s="7" t="s">
        <v>172</v>
      </c>
      <c r="B27" s="5">
        <v>19187</v>
      </c>
      <c r="C27" s="5">
        <v>7.3</v>
      </c>
      <c r="D27" s="5">
        <v>8.5</v>
      </c>
      <c r="E27" s="5">
        <v>7.52</v>
      </c>
      <c r="F27" s="5">
        <v>40.18</v>
      </c>
    </row>
    <row r="28" spans="1:6">
      <c r="A28" s="7" t="s">
        <v>173</v>
      </c>
      <c r="B28" s="5">
        <v>20371</v>
      </c>
      <c r="C28" s="5">
        <v>7.4</v>
      </c>
      <c r="D28" s="5">
        <v>9</v>
      </c>
      <c r="E28" s="5">
        <v>7.71</v>
      </c>
      <c r="F28" s="5">
        <v>42.69</v>
      </c>
    </row>
    <row r="29" spans="1:6">
      <c r="A29" s="7" t="s">
        <v>174</v>
      </c>
      <c r="B29" s="5">
        <v>20371</v>
      </c>
      <c r="C29" s="5">
        <v>7.6</v>
      </c>
      <c r="D29" s="5">
        <v>9.4</v>
      </c>
      <c r="E29" s="5">
        <v>7.9</v>
      </c>
      <c r="F29" s="5">
        <v>38.119999999999997</v>
      </c>
    </row>
    <row r="30" spans="1:6">
      <c r="A30" s="7" t="s">
        <v>175</v>
      </c>
      <c r="B30" s="5">
        <v>21262</v>
      </c>
      <c r="C30" s="5">
        <v>7.78</v>
      </c>
      <c r="D30" s="5">
        <v>8.9</v>
      </c>
      <c r="E30" s="5">
        <v>8.15</v>
      </c>
      <c r="F30" s="5">
        <v>44.16</v>
      </c>
    </row>
    <row r="31" spans="1:6">
      <c r="A31" s="7" t="s">
        <v>176</v>
      </c>
      <c r="B31" s="5">
        <v>21262</v>
      </c>
      <c r="C31" s="5">
        <v>7.9</v>
      </c>
      <c r="D31" s="5">
        <v>8.1999999999999993</v>
      </c>
      <c r="E31" s="5">
        <v>8.35</v>
      </c>
      <c r="F31" s="5">
        <v>44.31</v>
      </c>
    </row>
    <row r="32" spans="1:6">
      <c r="A32" s="7" t="s">
        <v>177</v>
      </c>
      <c r="B32" s="5">
        <v>23332</v>
      </c>
      <c r="C32" s="5">
        <v>8</v>
      </c>
      <c r="D32" s="5">
        <v>10</v>
      </c>
      <c r="E32" s="5">
        <v>8.56</v>
      </c>
      <c r="F32" s="5">
        <v>53.05</v>
      </c>
    </row>
    <row r="33" spans="1:6">
      <c r="A33" s="7" t="s">
        <v>178</v>
      </c>
      <c r="B33" s="5">
        <v>23547</v>
      </c>
      <c r="C33" s="5">
        <v>8.11</v>
      </c>
      <c r="D33" s="5">
        <v>9.8000000000000007</v>
      </c>
      <c r="E33" s="5">
        <v>8.7799999999999994</v>
      </c>
      <c r="F33" s="5">
        <v>48.9</v>
      </c>
    </row>
    <row r="34" spans="1:6">
      <c r="A34" s="7" t="s">
        <v>179</v>
      </c>
      <c r="B34" s="5">
        <v>24509</v>
      </c>
      <c r="C34" s="5">
        <v>8.2200000000000006</v>
      </c>
      <c r="D34" s="5">
        <v>9.1999999999999993</v>
      </c>
      <c r="E34" s="5">
        <v>8.98</v>
      </c>
      <c r="F34" s="5">
        <v>52.78</v>
      </c>
    </row>
    <row r="35" spans="1:6">
      <c r="A35" s="7" t="s">
        <v>180</v>
      </c>
      <c r="B35" s="5">
        <v>25323</v>
      </c>
      <c r="C35" s="5">
        <v>8.3000000000000007</v>
      </c>
      <c r="D35" s="5">
        <v>9.5500000000000007</v>
      </c>
      <c r="E35" s="5">
        <v>9.2200000000000006</v>
      </c>
      <c r="F35" s="5">
        <v>49.59</v>
      </c>
    </row>
    <row r="36" spans="1:6">
      <c r="A36" s="7" t="s">
        <v>181</v>
      </c>
      <c r="B36" s="5">
        <v>25320</v>
      </c>
      <c r="C36" s="5">
        <v>8.4</v>
      </c>
      <c r="D36" s="5">
        <v>9.1</v>
      </c>
      <c r="E36" s="5">
        <v>9.4499999999999993</v>
      </c>
      <c r="F36" s="5">
        <v>48.3</v>
      </c>
    </row>
    <row r="37" spans="1:6">
      <c r="A37" s="7" t="s">
        <v>182</v>
      </c>
      <c r="B37" s="5">
        <v>26459</v>
      </c>
      <c r="C37" s="5">
        <v>8.5</v>
      </c>
      <c r="D37" s="5">
        <v>9.3000000000000007</v>
      </c>
      <c r="E37" s="5">
        <v>9.6999999999999993</v>
      </c>
      <c r="F37" s="5">
        <v>50.25</v>
      </c>
    </row>
    <row r="38" spans="1:6">
      <c r="A38" s="7" t="s">
        <v>183</v>
      </c>
      <c r="B38" s="5">
        <v>26400</v>
      </c>
      <c r="C38" s="5">
        <v>8.2200000000000006</v>
      </c>
      <c r="D38" s="5">
        <v>9.1</v>
      </c>
      <c r="E38" s="5">
        <v>13</v>
      </c>
      <c r="F38" s="5">
        <v>40.14</v>
      </c>
    </row>
    <row r="39" spans="1:6">
      <c r="A39" s="7" t="s">
        <v>184</v>
      </c>
      <c r="B39" s="5">
        <v>25999</v>
      </c>
      <c r="C39" s="5">
        <v>8.3000000000000007</v>
      </c>
      <c r="D39" s="5">
        <v>8.6</v>
      </c>
      <c r="E39" s="5">
        <v>13.18</v>
      </c>
      <c r="F39" s="5">
        <v>35.5</v>
      </c>
    </row>
    <row r="40" spans="1:6">
      <c r="A40" s="7" t="s">
        <v>185</v>
      </c>
      <c r="B40" s="5">
        <v>25926</v>
      </c>
      <c r="C40" s="5">
        <v>8.11</v>
      </c>
      <c r="D40" s="5">
        <v>7.8</v>
      </c>
      <c r="E40" s="5">
        <v>13.35</v>
      </c>
      <c r="F40" s="5">
        <v>27.27</v>
      </c>
    </row>
    <row r="41" spans="1:6">
      <c r="A41" s="7" t="s">
        <v>186</v>
      </c>
      <c r="B41" s="5">
        <v>26632</v>
      </c>
      <c r="C41" s="5">
        <v>8.3800000000000008</v>
      </c>
      <c r="D41" s="5">
        <v>46</v>
      </c>
      <c r="E41" s="5">
        <v>13.55</v>
      </c>
      <c r="F41" s="5">
        <v>30.73</v>
      </c>
    </row>
    <row r="42" spans="1:6">
      <c r="A42" s="7" t="s">
        <v>187</v>
      </c>
      <c r="B42" s="5">
        <v>26688</v>
      </c>
      <c r="C42" s="5">
        <v>8.5</v>
      </c>
      <c r="D42" s="5">
        <v>9.1999999999999993</v>
      </c>
      <c r="E42" s="5">
        <v>13.72</v>
      </c>
      <c r="F42" s="5">
        <v>25.52</v>
      </c>
    </row>
    <row r="43" spans="1:6">
      <c r="A43" s="7" t="s">
        <v>188</v>
      </c>
      <c r="B43" s="5">
        <v>27274</v>
      </c>
      <c r="C43" s="5">
        <v>8.6199999999999992</v>
      </c>
      <c r="D43" s="5">
        <v>9.5</v>
      </c>
      <c r="E43" s="5">
        <v>13.88</v>
      </c>
      <c r="F43" s="5">
        <v>28.28</v>
      </c>
    </row>
    <row r="44" spans="1:6">
      <c r="A44" s="7" t="s">
        <v>189</v>
      </c>
      <c r="B44" s="5">
        <v>28464</v>
      </c>
      <c r="C44" s="5">
        <v>8.75</v>
      </c>
      <c r="D44" s="5">
        <v>10.199999999999999</v>
      </c>
      <c r="E44" s="5">
        <v>14.05</v>
      </c>
      <c r="F44" s="5">
        <v>22</v>
      </c>
    </row>
    <row r="45" spans="1:6">
      <c r="A45" s="7" t="s">
        <v>190</v>
      </c>
      <c r="B45" s="5">
        <v>28265</v>
      </c>
      <c r="C45" s="5">
        <v>8.85</v>
      </c>
      <c r="D45" s="5">
        <v>9.8000000000000007</v>
      </c>
      <c r="E45" s="5">
        <v>15.18</v>
      </c>
      <c r="F45" s="5">
        <v>20.04</v>
      </c>
    </row>
    <row r="46" spans="1:6">
      <c r="A46" s="7" t="s">
        <v>191</v>
      </c>
      <c r="B46" s="5">
        <v>29361</v>
      </c>
      <c r="C46" s="5">
        <v>9</v>
      </c>
      <c r="D46" s="5">
        <v>10.5</v>
      </c>
      <c r="E46" s="5">
        <v>15.38</v>
      </c>
      <c r="F46" s="5">
        <v>19.8</v>
      </c>
    </row>
    <row r="47" spans="1:6">
      <c r="A47" s="7" t="s">
        <v>192</v>
      </c>
      <c r="B47" s="5">
        <v>29529</v>
      </c>
      <c r="C47" s="5">
        <v>9.1</v>
      </c>
      <c r="D47" s="5">
        <v>9.4499999999999993</v>
      </c>
      <c r="E47" s="5">
        <v>15.55</v>
      </c>
      <c r="F47" s="5">
        <v>16.61</v>
      </c>
    </row>
    <row r="48" spans="1:6">
      <c r="A48" s="7" t="s">
        <v>193</v>
      </c>
      <c r="B48" s="5">
        <v>30200</v>
      </c>
      <c r="C48" s="5">
        <v>9.1999999999999993</v>
      </c>
      <c r="D48" s="5">
        <v>9.1</v>
      </c>
      <c r="E48" s="5">
        <v>15.72</v>
      </c>
      <c r="F48" s="5">
        <v>19.27</v>
      </c>
    </row>
    <row r="49" spans="1:6">
      <c r="A49" s="7" t="s">
        <v>194</v>
      </c>
      <c r="B49" s="5">
        <v>31002</v>
      </c>
      <c r="C49" s="5">
        <v>9.35</v>
      </c>
      <c r="D49" s="5">
        <v>9.8000000000000007</v>
      </c>
      <c r="E49" s="5">
        <v>15.9</v>
      </c>
      <c r="F49" s="5">
        <v>17.170000000000002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04FC4-8471-4FD6-870A-2386D3E61864}">
  <dimension ref="A1:B49"/>
  <sheetViews>
    <sheetView workbookViewId="0">
      <selection sqref="A1:B1048576"/>
    </sheetView>
  </sheetViews>
  <sheetFormatPr defaultRowHeight="15"/>
  <cols>
    <col min="1" max="1" width="9.140625" style="10"/>
    <col min="2" max="2" width="15.85546875" customWidth="1"/>
  </cols>
  <sheetData>
    <row r="1" spans="1:2">
      <c r="A1" s="7" t="s">
        <v>141</v>
      </c>
      <c r="B1" s="5" t="s">
        <v>142</v>
      </c>
    </row>
    <row r="2" spans="1:2">
      <c r="A2" s="7" t="s">
        <v>147</v>
      </c>
      <c r="B2" s="5">
        <v>11517</v>
      </c>
    </row>
    <row r="3" spans="1:2">
      <c r="A3" s="7" t="s">
        <v>148</v>
      </c>
      <c r="B3" s="5">
        <v>11438</v>
      </c>
    </row>
    <row r="4" spans="1:2">
      <c r="A4" s="7" t="s">
        <v>149</v>
      </c>
      <c r="B4" s="5">
        <v>12328</v>
      </c>
    </row>
    <row r="5" spans="1:2">
      <c r="A5" s="7" t="s">
        <v>150</v>
      </c>
      <c r="B5" s="5">
        <v>11863</v>
      </c>
    </row>
    <row r="6" spans="1:2">
      <c r="A6" s="7" t="s">
        <v>151</v>
      </c>
      <c r="B6" s="5">
        <v>12286</v>
      </c>
    </row>
    <row r="7" spans="1:2">
      <c r="A7" s="7" t="s">
        <v>152</v>
      </c>
      <c r="B7" s="5">
        <v>12276</v>
      </c>
    </row>
    <row r="8" spans="1:2">
      <c r="A8" s="7" t="s">
        <v>153</v>
      </c>
      <c r="B8" s="5">
        <v>12140</v>
      </c>
    </row>
    <row r="9" spans="1:2">
      <c r="A9" s="7" t="s">
        <v>154</v>
      </c>
      <c r="B9" s="5">
        <v>12694</v>
      </c>
    </row>
    <row r="10" spans="1:2">
      <c r="A10" s="7" t="s">
        <v>155</v>
      </c>
      <c r="B10" s="5">
        <v>12976</v>
      </c>
    </row>
    <row r="11" spans="1:2">
      <c r="A11" s="7" t="s">
        <v>156</v>
      </c>
      <c r="B11" s="5">
        <v>13040</v>
      </c>
    </row>
    <row r="12" spans="1:2">
      <c r="A12" s="7" t="s">
        <v>157</v>
      </c>
      <c r="B12" s="5">
        <v>13306</v>
      </c>
    </row>
    <row r="13" spans="1:2">
      <c r="A13" s="7" t="s">
        <v>158</v>
      </c>
      <c r="B13" s="5">
        <v>13573</v>
      </c>
    </row>
    <row r="14" spans="1:2">
      <c r="A14" s="7" t="s">
        <v>159</v>
      </c>
      <c r="B14" s="5">
        <v>13856</v>
      </c>
    </row>
    <row r="15" spans="1:2">
      <c r="A15" s="7" t="s">
        <v>160</v>
      </c>
      <c r="B15" s="5">
        <v>13687</v>
      </c>
    </row>
    <row r="16" spans="1:2">
      <c r="A16" s="7" t="s">
        <v>161</v>
      </c>
      <c r="B16" s="5">
        <v>14276</v>
      </c>
    </row>
    <row r="17" spans="1:2">
      <c r="A17" s="7" t="s">
        <v>162</v>
      </c>
      <c r="B17" s="5">
        <v>14749</v>
      </c>
    </row>
    <row r="18" spans="1:2">
      <c r="A18" s="7" t="s">
        <v>163</v>
      </c>
      <c r="B18" s="5">
        <v>14749</v>
      </c>
    </row>
    <row r="19" spans="1:2">
      <c r="A19" s="7" t="s">
        <v>164</v>
      </c>
      <c r="B19" s="5">
        <v>14734</v>
      </c>
    </row>
    <row r="20" spans="1:2">
      <c r="A20" s="7" t="s">
        <v>165</v>
      </c>
      <c r="B20" s="5">
        <v>15245</v>
      </c>
    </row>
    <row r="21" spans="1:2">
      <c r="A21" s="7" t="s">
        <v>166</v>
      </c>
      <c r="B21" s="5">
        <v>15814</v>
      </c>
    </row>
    <row r="22" spans="1:2">
      <c r="A22" s="7" t="s">
        <v>167</v>
      </c>
      <c r="B22" s="5">
        <v>16042</v>
      </c>
    </row>
    <row r="23" spans="1:2">
      <c r="A23" s="7" t="s">
        <v>168</v>
      </c>
      <c r="B23" s="5">
        <v>16928</v>
      </c>
    </row>
    <row r="24" spans="1:2">
      <c r="A24" s="7" t="s">
        <v>169</v>
      </c>
      <c r="B24" s="5">
        <v>17073</v>
      </c>
    </row>
    <row r="25" spans="1:2">
      <c r="A25" s="7" t="s">
        <v>170</v>
      </c>
      <c r="B25" s="5">
        <v>17610</v>
      </c>
    </row>
    <row r="26" spans="1:2">
      <c r="A26" s="7" t="s">
        <v>171</v>
      </c>
      <c r="B26" s="5">
        <v>18838</v>
      </c>
    </row>
    <row r="27" spans="1:2">
      <c r="A27" s="7" t="s">
        <v>172</v>
      </c>
      <c r="B27" s="5">
        <v>19187</v>
      </c>
    </row>
    <row r="28" spans="1:2">
      <c r="A28" s="7" t="s">
        <v>173</v>
      </c>
      <c r="B28" s="5">
        <v>20371</v>
      </c>
    </row>
    <row r="29" spans="1:2">
      <c r="A29" s="7" t="s">
        <v>174</v>
      </c>
      <c r="B29" s="5">
        <v>20371</v>
      </c>
    </row>
    <row r="30" spans="1:2">
      <c r="A30" s="7" t="s">
        <v>175</v>
      </c>
      <c r="B30" s="5">
        <v>21262</v>
      </c>
    </row>
    <row r="31" spans="1:2">
      <c r="A31" s="7" t="s">
        <v>176</v>
      </c>
      <c r="B31" s="5">
        <v>21262</v>
      </c>
    </row>
    <row r="32" spans="1:2">
      <c r="A32" s="7" t="s">
        <v>177</v>
      </c>
      <c r="B32" s="5">
        <v>23332</v>
      </c>
    </row>
    <row r="33" spans="1:2">
      <c r="A33" s="7" t="s">
        <v>178</v>
      </c>
      <c r="B33" s="5">
        <v>23547</v>
      </c>
    </row>
    <row r="34" spans="1:2">
      <c r="A34" s="7" t="s">
        <v>179</v>
      </c>
      <c r="B34" s="5">
        <v>24509</v>
      </c>
    </row>
    <row r="35" spans="1:2">
      <c r="A35" s="7" t="s">
        <v>180</v>
      </c>
      <c r="B35" s="5">
        <v>25323</v>
      </c>
    </row>
    <row r="36" spans="1:2">
      <c r="A36" s="7" t="s">
        <v>181</v>
      </c>
      <c r="B36" s="5">
        <v>25320</v>
      </c>
    </row>
    <row r="37" spans="1:2">
      <c r="A37" s="7" t="s">
        <v>182</v>
      </c>
      <c r="B37" s="5">
        <v>26459</v>
      </c>
    </row>
    <row r="38" spans="1:2">
      <c r="A38" s="7" t="s">
        <v>183</v>
      </c>
      <c r="B38" s="5">
        <v>26400</v>
      </c>
    </row>
    <row r="39" spans="1:2">
      <c r="A39" s="7" t="s">
        <v>184</v>
      </c>
      <c r="B39" s="5">
        <v>25999</v>
      </c>
    </row>
    <row r="40" spans="1:2">
      <c r="A40" s="7" t="s">
        <v>185</v>
      </c>
      <c r="B40" s="5">
        <v>25926</v>
      </c>
    </row>
    <row r="41" spans="1:2">
      <c r="A41" s="7" t="s">
        <v>186</v>
      </c>
      <c r="B41" s="5">
        <v>26632</v>
      </c>
    </row>
    <row r="42" spans="1:2">
      <c r="A42" s="7" t="s">
        <v>187</v>
      </c>
      <c r="B42" s="5">
        <v>26688</v>
      </c>
    </row>
    <row r="43" spans="1:2">
      <c r="A43" s="7" t="s">
        <v>188</v>
      </c>
      <c r="B43" s="5">
        <v>27274</v>
      </c>
    </row>
    <row r="44" spans="1:2">
      <c r="A44" s="7" t="s">
        <v>189</v>
      </c>
      <c r="B44" s="5">
        <v>28464</v>
      </c>
    </row>
    <row r="45" spans="1:2">
      <c r="A45" s="7" t="s">
        <v>190</v>
      </c>
      <c r="B45" s="5">
        <v>28265</v>
      </c>
    </row>
    <row r="46" spans="1:2">
      <c r="A46" s="7" t="s">
        <v>191</v>
      </c>
      <c r="B46" s="5">
        <v>29361</v>
      </c>
    </row>
    <row r="47" spans="1:2">
      <c r="A47" s="7" t="s">
        <v>192</v>
      </c>
      <c r="B47" s="5">
        <v>29529</v>
      </c>
    </row>
    <row r="48" spans="1:2">
      <c r="A48" s="7" t="s">
        <v>193</v>
      </c>
      <c r="B48" s="5">
        <v>30200</v>
      </c>
    </row>
    <row r="49" spans="1:2">
      <c r="A49" s="7" t="s">
        <v>194</v>
      </c>
      <c r="B49" s="5">
        <v>31002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71461-A34D-4361-9D35-84F08F8ACA24}">
  <dimension ref="A1:C145"/>
  <sheetViews>
    <sheetView topLeftCell="A132" workbookViewId="0">
      <selection activeCell="J136" sqref="J136"/>
    </sheetView>
  </sheetViews>
  <sheetFormatPr defaultRowHeight="15"/>
  <cols>
    <col min="1" max="1" width="13" style="12" customWidth="1"/>
    <col min="2" max="2" width="19.42578125" style="12" customWidth="1"/>
    <col min="3" max="3" width="16.42578125" style="12" customWidth="1"/>
    <col min="4" max="16384" width="9.140625" style="12"/>
  </cols>
  <sheetData>
    <row r="1" spans="1:3">
      <c r="A1" s="11" t="s">
        <v>141</v>
      </c>
      <c r="B1" s="12" t="s">
        <v>3</v>
      </c>
      <c r="C1" s="12" t="s">
        <v>195</v>
      </c>
    </row>
    <row r="2" spans="1:3">
      <c r="A2" s="11" t="s">
        <v>174</v>
      </c>
      <c r="B2" s="12" t="s">
        <v>18</v>
      </c>
      <c r="C2" s="12">
        <v>2413</v>
      </c>
    </row>
    <row r="3" spans="1:3">
      <c r="A3" s="11" t="s">
        <v>174</v>
      </c>
      <c r="B3" s="12" t="s">
        <v>45</v>
      </c>
      <c r="C3" s="12">
        <v>3897</v>
      </c>
    </row>
    <row r="4" spans="1:3">
      <c r="A4" s="11" t="s">
        <v>174</v>
      </c>
      <c r="B4" s="12" t="s">
        <v>27</v>
      </c>
      <c r="C4" s="12">
        <v>3533</v>
      </c>
    </row>
    <row r="5" spans="1:3">
      <c r="A5" s="11" t="s">
        <v>174</v>
      </c>
      <c r="B5" s="12" t="s">
        <v>90</v>
      </c>
      <c r="C5" s="12">
        <v>4947</v>
      </c>
    </row>
    <row r="6" spans="1:3">
      <c r="A6" s="11" t="s">
        <v>174</v>
      </c>
      <c r="B6" s="12" t="s">
        <v>122</v>
      </c>
      <c r="C6" s="12">
        <v>4214</v>
      </c>
    </row>
    <row r="7" spans="1:3">
      <c r="A7" s="11" t="s">
        <v>174</v>
      </c>
      <c r="B7" s="12" t="s">
        <v>126</v>
      </c>
      <c r="C7" s="12">
        <v>466</v>
      </c>
    </row>
    <row r="8" spans="1:3">
      <c r="A8" s="11" t="s">
        <v>174</v>
      </c>
      <c r="B8" s="12" t="s">
        <v>196</v>
      </c>
      <c r="C8" s="12">
        <v>1328</v>
      </c>
    </row>
    <row r="9" spans="1:3">
      <c r="A9" s="11" t="s">
        <v>174</v>
      </c>
      <c r="B9" s="12" t="s">
        <v>197</v>
      </c>
      <c r="C9" s="12">
        <v>8052</v>
      </c>
    </row>
    <row r="10" spans="1:3">
      <c r="A10" s="11" t="s">
        <v>174</v>
      </c>
      <c r="B10" s="12" t="s">
        <v>67</v>
      </c>
      <c r="C10" s="12">
        <v>37537</v>
      </c>
    </row>
    <row r="11" spans="1:3">
      <c r="A11" s="11" t="s">
        <v>174</v>
      </c>
      <c r="B11" s="12" t="s">
        <v>52</v>
      </c>
      <c r="C11" s="12">
        <v>4400</v>
      </c>
    </row>
    <row r="12" spans="1:3">
      <c r="A12" s="11" t="s">
        <v>174</v>
      </c>
      <c r="B12" s="12" t="s">
        <v>35</v>
      </c>
      <c r="C12" s="12">
        <v>784</v>
      </c>
    </row>
    <row r="13" spans="1:3">
      <c r="A13" s="11" t="s">
        <v>174</v>
      </c>
      <c r="B13" s="12" t="s">
        <v>198</v>
      </c>
      <c r="C13" s="12">
        <v>2955</v>
      </c>
    </row>
    <row r="14" spans="1:3">
      <c r="A14" s="11" t="s">
        <v>175</v>
      </c>
      <c r="B14" s="12" t="s">
        <v>18</v>
      </c>
      <c r="C14" s="12">
        <v>2076</v>
      </c>
    </row>
    <row r="15" spans="1:3">
      <c r="A15" s="11" t="s">
        <v>175</v>
      </c>
      <c r="B15" s="12" t="s">
        <v>45</v>
      </c>
      <c r="C15" s="12">
        <v>5300</v>
      </c>
    </row>
    <row r="16" spans="1:3">
      <c r="A16" s="11" t="s">
        <v>175</v>
      </c>
      <c r="B16" s="12" t="s">
        <v>27</v>
      </c>
      <c r="C16" s="12">
        <v>4092</v>
      </c>
    </row>
    <row r="17" spans="1:3">
      <c r="A17" s="11" t="s">
        <v>175</v>
      </c>
      <c r="B17" s="12" t="s">
        <v>90</v>
      </c>
      <c r="C17" s="12">
        <v>5529</v>
      </c>
    </row>
    <row r="18" spans="1:3">
      <c r="A18" s="11" t="s">
        <v>175</v>
      </c>
      <c r="B18" s="12" t="s">
        <v>122</v>
      </c>
      <c r="C18" s="12">
        <v>4368</v>
      </c>
    </row>
    <row r="19" spans="1:3">
      <c r="A19" s="11" t="s">
        <v>175</v>
      </c>
      <c r="B19" s="12" t="s">
        <v>126</v>
      </c>
      <c r="C19" s="12">
        <v>553</v>
      </c>
    </row>
    <row r="20" spans="1:3">
      <c r="A20" s="11" t="s">
        <v>175</v>
      </c>
      <c r="B20" s="12" t="s">
        <v>196</v>
      </c>
      <c r="C20" s="12">
        <v>1361</v>
      </c>
    </row>
    <row r="21" spans="1:3">
      <c r="A21" s="11" t="s">
        <v>175</v>
      </c>
      <c r="B21" s="12" t="s">
        <v>197</v>
      </c>
      <c r="C21" s="12">
        <v>8354</v>
      </c>
    </row>
    <row r="22" spans="1:3">
      <c r="A22" s="11" t="s">
        <v>175</v>
      </c>
      <c r="B22" s="12" t="s">
        <v>67</v>
      </c>
      <c r="C22" s="12">
        <v>41872</v>
      </c>
    </row>
    <row r="23" spans="1:3">
      <c r="A23" s="11" t="s">
        <v>175</v>
      </c>
      <c r="B23" s="12" t="s">
        <v>52</v>
      </c>
      <c r="C23" s="12">
        <v>4833</v>
      </c>
    </row>
    <row r="24" spans="1:3">
      <c r="A24" s="11" t="s">
        <v>175</v>
      </c>
      <c r="B24" s="12" t="s">
        <v>35</v>
      </c>
      <c r="C24" s="12">
        <v>836</v>
      </c>
    </row>
    <row r="25" spans="1:3">
      <c r="A25" s="11" t="s">
        <v>175</v>
      </c>
      <c r="B25" s="12" t="s">
        <v>198</v>
      </c>
      <c r="C25" s="12">
        <v>3487</v>
      </c>
    </row>
    <row r="26" spans="1:3">
      <c r="A26" s="11" t="s">
        <v>176</v>
      </c>
      <c r="B26" s="12" t="s">
        <v>18</v>
      </c>
      <c r="C26" s="12">
        <v>2519</v>
      </c>
    </row>
    <row r="27" spans="1:3">
      <c r="A27" s="11" t="s">
        <v>176</v>
      </c>
      <c r="B27" s="12" t="s">
        <v>45</v>
      </c>
      <c r="C27" s="12">
        <v>5047</v>
      </c>
    </row>
    <row r="28" spans="1:3">
      <c r="A28" s="11" t="s">
        <v>176</v>
      </c>
      <c r="B28" s="12" t="s">
        <v>27</v>
      </c>
      <c r="C28" s="12">
        <v>3535</v>
      </c>
    </row>
    <row r="29" spans="1:3">
      <c r="A29" s="11" t="s">
        <v>176</v>
      </c>
      <c r="B29" s="12" t="s">
        <v>90</v>
      </c>
      <c r="C29" s="12">
        <v>4478</v>
      </c>
    </row>
    <row r="30" spans="1:3">
      <c r="A30" s="11" t="s">
        <v>176</v>
      </c>
      <c r="B30" s="12" t="s">
        <v>122</v>
      </c>
      <c r="C30" s="12">
        <v>4610</v>
      </c>
    </row>
    <row r="31" spans="1:3">
      <c r="A31" s="11" t="s">
        <v>176</v>
      </c>
      <c r="B31" s="12" t="s">
        <v>126</v>
      </c>
      <c r="C31" s="12">
        <v>472</v>
      </c>
    </row>
    <row r="32" spans="1:3">
      <c r="A32" s="11" t="s">
        <v>176</v>
      </c>
      <c r="B32" s="12" t="s">
        <v>196</v>
      </c>
      <c r="C32" s="12">
        <v>1386</v>
      </c>
    </row>
    <row r="33" spans="1:3">
      <c r="A33" s="11" t="s">
        <v>176</v>
      </c>
      <c r="B33" s="12" t="s">
        <v>197</v>
      </c>
      <c r="C33" s="12">
        <v>10030</v>
      </c>
    </row>
    <row r="34" spans="1:3">
      <c r="A34" s="11" t="s">
        <v>176</v>
      </c>
      <c r="B34" s="12" t="s">
        <v>67</v>
      </c>
      <c r="C34" s="12">
        <v>40486</v>
      </c>
    </row>
    <row r="35" spans="1:3">
      <c r="A35" s="11" t="s">
        <v>176</v>
      </c>
      <c r="B35" s="12" t="s">
        <v>52</v>
      </c>
      <c r="C35" s="12">
        <v>4321</v>
      </c>
    </row>
    <row r="36" spans="1:3">
      <c r="A36" s="11" t="s">
        <v>176</v>
      </c>
      <c r="B36" s="12" t="s">
        <v>35</v>
      </c>
      <c r="C36" s="12">
        <v>864</v>
      </c>
    </row>
    <row r="37" spans="1:3">
      <c r="A37" s="11" t="s">
        <v>176</v>
      </c>
      <c r="B37" s="12" t="s">
        <v>198</v>
      </c>
      <c r="C37" s="12">
        <v>3163</v>
      </c>
    </row>
    <row r="38" spans="1:3">
      <c r="A38" s="11" t="s">
        <v>177</v>
      </c>
      <c r="B38" s="12" t="s">
        <v>18</v>
      </c>
      <c r="C38" s="12">
        <v>2574</v>
      </c>
    </row>
    <row r="39" spans="1:3">
      <c r="A39" s="11" t="s">
        <v>177</v>
      </c>
      <c r="B39" s="12" t="s">
        <v>45</v>
      </c>
      <c r="C39" s="12">
        <v>4548</v>
      </c>
    </row>
    <row r="40" spans="1:3">
      <c r="A40" s="11" t="s">
        <v>177</v>
      </c>
      <c r="B40" s="12" t="s">
        <v>27</v>
      </c>
      <c r="C40" s="12">
        <v>3582</v>
      </c>
    </row>
    <row r="41" spans="1:3">
      <c r="A41" s="11" t="s">
        <v>177</v>
      </c>
      <c r="B41" s="12" t="s">
        <v>90</v>
      </c>
      <c r="C41" s="12">
        <v>4869</v>
      </c>
    </row>
    <row r="42" spans="1:3">
      <c r="A42" s="11" t="s">
        <v>177</v>
      </c>
      <c r="B42" s="12" t="s">
        <v>122</v>
      </c>
      <c r="C42" s="12">
        <v>5023</v>
      </c>
    </row>
    <row r="43" spans="1:3">
      <c r="A43" s="11" t="s">
        <v>177</v>
      </c>
      <c r="B43" s="12" t="s">
        <v>126</v>
      </c>
      <c r="C43" s="12">
        <v>471</v>
      </c>
    </row>
    <row r="44" spans="1:3">
      <c r="A44" s="11" t="s">
        <v>177</v>
      </c>
      <c r="B44" s="12" t="s">
        <v>196</v>
      </c>
      <c r="C44" s="12">
        <v>1582</v>
      </c>
    </row>
    <row r="45" spans="1:3">
      <c r="A45" s="11" t="s">
        <v>177</v>
      </c>
      <c r="B45" s="12" t="s">
        <v>197</v>
      </c>
      <c r="C45" s="12">
        <v>9896</v>
      </c>
    </row>
    <row r="46" spans="1:3">
      <c r="A46" s="11" t="s">
        <v>177</v>
      </c>
      <c r="B46" s="12" t="s">
        <v>67</v>
      </c>
      <c r="C46" s="12">
        <v>34643</v>
      </c>
    </row>
    <row r="47" spans="1:3">
      <c r="A47" s="11" t="s">
        <v>177</v>
      </c>
      <c r="B47" s="12" t="s">
        <v>52</v>
      </c>
      <c r="C47" s="12">
        <v>4170</v>
      </c>
    </row>
    <row r="48" spans="1:3">
      <c r="A48" s="11" t="s">
        <v>177</v>
      </c>
      <c r="B48" s="12" t="s">
        <v>35</v>
      </c>
      <c r="C48" s="12">
        <v>959</v>
      </c>
    </row>
    <row r="49" spans="1:3">
      <c r="A49" s="11" t="s">
        <v>177</v>
      </c>
      <c r="B49" s="12" t="s">
        <v>198</v>
      </c>
      <c r="C49" s="12">
        <v>3291</v>
      </c>
    </row>
    <row r="50" spans="1:3">
      <c r="A50" s="11" t="s">
        <v>178</v>
      </c>
      <c r="B50" s="12" t="s">
        <v>18</v>
      </c>
      <c r="C50" s="12">
        <v>1940</v>
      </c>
    </row>
    <row r="51" spans="1:3">
      <c r="A51" s="11" t="s">
        <v>178</v>
      </c>
      <c r="B51" s="12" t="s">
        <v>45</v>
      </c>
      <c r="C51" s="12">
        <v>3899</v>
      </c>
    </row>
    <row r="52" spans="1:3">
      <c r="A52" s="11" t="s">
        <v>178</v>
      </c>
      <c r="B52" s="12" t="s">
        <v>27</v>
      </c>
      <c r="C52" s="12">
        <v>3376</v>
      </c>
    </row>
    <row r="53" spans="1:3">
      <c r="A53" s="11" t="s">
        <v>178</v>
      </c>
      <c r="B53" s="12" t="s">
        <v>90</v>
      </c>
      <c r="C53" s="12">
        <v>5562</v>
      </c>
    </row>
    <row r="54" spans="1:3">
      <c r="A54" s="11" t="s">
        <v>178</v>
      </c>
      <c r="B54" s="12" t="s">
        <v>122</v>
      </c>
      <c r="C54" s="12">
        <v>5411</v>
      </c>
    </row>
    <row r="55" spans="1:3">
      <c r="A55" s="11" t="s">
        <v>178</v>
      </c>
      <c r="B55" s="12" t="s">
        <v>126</v>
      </c>
      <c r="C55" s="12">
        <v>499</v>
      </c>
    </row>
    <row r="56" spans="1:3">
      <c r="A56" s="11" t="s">
        <v>178</v>
      </c>
      <c r="B56" s="12" t="s">
        <v>196</v>
      </c>
      <c r="C56" s="12">
        <v>1308</v>
      </c>
    </row>
    <row r="57" spans="1:3">
      <c r="A57" s="11" t="s">
        <v>178</v>
      </c>
      <c r="B57" s="12" t="s">
        <v>197</v>
      </c>
      <c r="C57" s="12">
        <v>8360</v>
      </c>
    </row>
    <row r="58" spans="1:3">
      <c r="A58" s="11" t="s">
        <v>178</v>
      </c>
      <c r="B58" s="12" t="s">
        <v>67</v>
      </c>
      <c r="C58" s="12">
        <v>41952</v>
      </c>
    </row>
    <row r="59" spans="1:3">
      <c r="A59" s="11" t="s">
        <v>178</v>
      </c>
      <c r="B59" s="12" t="s">
        <v>52</v>
      </c>
      <c r="C59" s="12">
        <v>4658</v>
      </c>
    </row>
    <row r="60" spans="1:3">
      <c r="A60" s="11" t="s">
        <v>178</v>
      </c>
      <c r="B60" s="12" t="s">
        <v>35</v>
      </c>
      <c r="C60" s="12">
        <v>952</v>
      </c>
    </row>
    <row r="61" spans="1:3">
      <c r="A61" s="11" t="s">
        <v>178</v>
      </c>
      <c r="B61" s="12" t="s">
        <v>198</v>
      </c>
      <c r="C61" s="12">
        <v>3684</v>
      </c>
    </row>
    <row r="62" spans="1:3">
      <c r="A62" s="11" t="s">
        <v>179</v>
      </c>
      <c r="B62" s="12" t="s">
        <v>18</v>
      </c>
      <c r="C62" s="12">
        <v>1879</v>
      </c>
    </row>
    <row r="63" spans="1:3">
      <c r="A63" s="11" t="s">
        <v>179</v>
      </c>
      <c r="B63" s="12" t="s">
        <v>45</v>
      </c>
      <c r="C63" s="12">
        <v>4960</v>
      </c>
    </row>
    <row r="64" spans="1:3">
      <c r="A64" s="11" t="s">
        <v>179</v>
      </c>
      <c r="B64" s="12" t="s">
        <v>27</v>
      </c>
      <c r="C64" s="12">
        <v>4137</v>
      </c>
    </row>
    <row r="65" spans="1:3">
      <c r="A65" s="11" t="s">
        <v>179</v>
      </c>
      <c r="B65" s="12" t="s">
        <v>90</v>
      </c>
      <c r="C65" s="12">
        <v>5397</v>
      </c>
    </row>
    <row r="66" spans="1:3">
      <c r="A66" s="11" t="s">
        <v>179</v>
      </c>
      <c r="B66" s="12" t="s">
        <v>122</v>
      </c>
      <c r="C66" s="12">
        <v>4528</v>
      </c>
    </row>
    <row r="67" spans="1:3">
      <c r="A67" s="11" t="s">
        <v>179</v>
      </c>
      <c r="B67" s="12" t="s">
        <v>126</v>
      </c>
      <c r="C67" s="12">
        <v>537</v>
      </c>
    </row>
    <row r="68" spans="1:3">
      <c r="A68" s="11" t="s">
        <v>179</v>
      </c>
      <c r="B68" s="12" t="s">
        <v>196</v>
      </c>
      <c r="C68" s="12">
        <v>1334</v>
      </c>
    </row>
    <row r="69" spans="1:3">
      <c r="A69" s="11" t="s">
        <v>179</v>
      </c>
      <c r="B69" s="12" t="s">
        <v>197</v>
      </c>
      <c r="C69" s="12">
        <v>8518</v>
      </c>
    </row>
    <row r="70" spans="1:3">
      <c r="A70" s="11" t="s">
        <v>179</v>
      </c>
      <c r="B70" s="12" t="s">
        <v>67</v>
      </c>
      <c r="C70" s="12">
        <v>35308</v>
      </c>
    </row>
    <row r="71" spans="1:3">
      <c r="A71" s="11" t="s">
        <v>179</v>
      </c>
      <c r="B71" s="12" t="s">
        <v>52</v>
      </c>
      <c r="C71" s="12">
        <v>5327</v>
      </c>
    </row>
    <row r="72" spans="1:3">
      <c r="A72" s="11" t="s">
        <v>179</v>
      </c>
      <c r="B72" s="12" t="s">
        <v>35</v>
      </c>
      <c r="C72" s="12">
        <v>925</v>
      </c>
    </row>
    <row r="73" spans="1:3">
      <c r="A73" s="11" t="s">
        <v>179</v>
      </c>
      <c r="B73" s="12" t="s">
        <v>198</v>
      </c>
      <c r="C73" s="12">
        <v>3015</v>
      </c>
    </row>
    <row r="74" spans="1:3">
      <c r="A74" s="11" t="s">
        <v>180</v>
      </c>
      <c r="B74" s="12" t="s">
        <v>18</v>
      </c>
      <c r="C74" s="12">
        <v>2255</v>
      </c>
    </row>
    <row r="75" spans="1:3">
      <c r="A75" s="11" t="s">
        <v>180</v>
      </c>
      <c r="B75" s="12" t="s">
        <v>45</v>
      </c>
      <c r="C75" s="12">
        <v>4106</v>
      </c>
    </row>
    <row r="76" spans="1:3">
      <c r="A76" s="11" t="s">
        <v>180</v>
      </c>
      <c r="B76" s="12" t="s">
        <v>27</v>
      </c>
      <c r="C76" s="12">
        <v>4444</v>
      </c>
    </row>
    <row r="77" spans="1:3">
      <c r="A77" s="11" t="s">
        <v>180</v>
      </c>
      <c r="B77" s="12" t="s">
        <v>90</v>
      </c>
      <c r="C77" s="12">
        <v>6004</v>
      </c>
    </row>
    <row r="78" spans="1:3">
      <c r="A78" s="11" t="s">
        <v>180</v>
      </c>
      <c r="B78" s="12" t="s">
        <v>122</v>
      </c>
      <c r="C78" s="12">
        <v>4581</v>
      </c>
    </row>
    <row r="79" spans="1:3">
      <c r="A79" s="11" t="s">
        <v>180</v>
      </c>
      <c r="B79" s="12" t="s">
        <v>126</v>
      </c>
      <c r="C79" s="12">
        <v>537</v>
      </c>
    </row>
    <row r="80" spans="1:3">
      <c r="A80" s="11" t="s">
        <v>180</v>
      </c>
      <c r="B80" s="12" t="s">
        <v>196</v>
      </c>
      <c r="C80" s="12">
        <v>1595</v>
      </c>
    </row>
    <row r="81" spans="1:3">
      <c r="A81" s="11" t="s">
        <v>180</v>
      </c>
      <c r="B81" s="12" t="s">
        <v>197</v>
      </c>
      <c r="C81" s="12">
        <v>7680</v>
      </c>
    </row>
    <row r="82" spans="1:3">
      <c r="A82" s="11" t="s">
        <v>180</v>
      </c>
      <c r="B82" s="12" t="s">
        <v>67</v>
      </c>
      <c r="C82" s="12">
        <v>39091</v>
      </c>
    </row>
    <row r="83" spans="1:3">
      <c r="A83" s="11" t="s">
        <v>180</v>
      </c>
      <c r="B83" s="12" t="s">
        <v>52</v>
      </c>
      <c r="C83" s="12">
        <v>4675</v>
      </c>
    </row>
    <row r="84" spans="1:3">
      <c r="A84" s="11" t="s">
        <v>180</v>
      </c>
      <c r="B84" s="12" t="s">
        <v>35</v>
      </c>
      <c r="C84" s="12">
        <v>898</v>
      </c>
    </row>
    <row r="85" spans="1:3">
      <c r="A85" s="11" t="s">
        <v>180</v>
      </c>
      <c r="B85" s="12" t="s">
        <v>198</v>
      </c>
      <c r="C85" s="12">
        <v>3314</v>
      </c>
    </row>
    <row r="86" spans="1:3">
      <c r="A86" s="11" t="s">
        <v>181</v>
      </c>
      <c r="B86" s="12" t="s">
        <v>18</v>
      </c>
      <c r="C86" s="12">
        <v>1870</v>
      </c>
    </row>
    <row r="87" spans="1:3">
      <c r="A87" s="11" t="s">
        <v>181</v>
      </c>
      <c r="B87" s="12" t="s">
        <v>45</v>
      </c>
      <c r="C87" s="12">
        <v>4336</v>
      </c>
    </row>
    <row r="88" spans="1:3">
      <c r="A88" s="11" t="s">
        <v>181</v>
      </c>
      <c r="B88" s="12" t="s">
        <v>27</v>
      </c>
      <c r="C88" s="12">
        <v>3256</v>
      </c>
    </row>
    <row r="89" spans="1:3">
      <c r="A89" s="11" t="s">
        <v>181</v>
      </c>
      <c r="B89" s="12" t="s">
        <v>90</v>
      </c>
      <c r="C89" s="12">
        <v>6111</v>
      </c>
    </row>
    <row r="90" spans="1:3">
      <c r="A90" s="11" t="s">
        <v>181</v>
      </c>
      <c r="B90" s="12" t="s">
        <v>122</v>
      </c>
      <c r="C90" s="12">
        <v>5556</v>
      </c>
    </row>
    <row r="91" spans="1:3">
      <c r="A91" s="11" t="s">
        <v>181</v>
      </c>
      <c r="B91" s="12" t="s">
        <v>126</v>
      </c>
      <c r="C91" s="12">
        <v>571</v>
      </c>
    </row>
    <row r="92" spans="1:3">
      <c r="A92" s="11" t="s">
        <v>181</v>
      </c>
      <c r="B92" s="12" t="s">
        <v>196</v>
      </c>
      <c r="C92" s="12">
        <v>1436</v>
      </c>
    </row>
    <row r="93" spans="1:3">
      <c r="A93" s="11" t="s">
        <v>181</v>
      </c>
      <c r="B93" s="12" t="s">
        <v>197</v>
      </c>
      <c r="C93" s="12">
        <v>7397</v>
      </c>
    </row>
    <row r="94" spans="1:3">
      <c r="A94" s="11" t="s">
        <v>181</v>
      </c>
      <c r="B94" s="12" t="s">
        <v>67</v>
      </c>
      <c r="C94" s="12">
        <v>40506</v>
      </c>
    </row>
    <row r="95" spans="1:3">
      <c r="A95" s="11" t="s">
        <v>181</v>
      </c>
      <c r="B95" s="12" t="s">
        <v>52</v>
      </c>
      <c r="C95" s="12">
        <v>5316</v>
      </c>
    </row>
    <row r="96" spans="1:3">
      <c r="A96" s="11" t="s">
        <v>181</v>
      </c>
      <c r="B96" s="12" t="s">
        <v>35</v>
      </c>
      <c r="C96" s="12">
        <v>704</v>
      </c>
    </row>
    <row r="97" spans="1:3">
      <c r="A97" s="11" t="s">
        <v>181</v>
      </c>
      <c r="B97" s="12" t="s">
        <v>198</v>
      </c>
      <c r="C97" s="12">
        <v>3264</v>
      </c>
    </row>
    <row r="98" spans="1:3">
      <c r="A98" s="11" t="s">
        <v>182</v>
      </c>
      <c r="B98" s="12" t="s">
        <v>18</v>
      </c>
      <c r="C98" s="12">
        <v>1923</v>
      </c>
    </row>
    <row r="99" spans="1:3">
      <c r="A99" s="11" t="s">
        <v>182</v>
      </c>
      <c r="B99" s="12" t="s">
        <v>45</v>
      </c>
      <c r="C99" s="12">
        <v>5023</v>
      </c>
    </row>
    <row r="100" spans="1:3">
      <c r="A100" s="11" t="s">
        <v>182</v>
      </c>
      <c r="B100" s="12" t="s">
        <v>27</v>
      </c>
      <c r="C100" s="12">
        <v>4249</v>
      </c>
    </row>
    <row r="101" spans="1:3">
      <c r="A101" s="11" t="s">
        <v>182</v>
      </c>
      <c r="B101" s="12" t="s">
        <v>90</v>
      </c>
      <c r="C101" s="12">
        <v>4654</v>
      </c>
    </row>
    <row r="102" spans="1:3">
      <c r="A102" s="11" t="s">
        <v>182</v>
      </c>
      <c r="B102" s="12" t="s">
        <v>122</v>
      </c>
      <c r="C102" s="12">
        <v>4878</v>
      </c>
    </row>
    <row r="103" spans="1:3">
      <c r="A103" s="11" t="s">
        <v>182</v>
      </c>
      <c r="B103" s="12" t="s">
        <v>126</v>
      </c>
      <c r="C103" s="12">
        <v>521</v>
      </c>
    </row>
    <row r="104" spans="1:3">
      <c r="A104" s="11" t="s">
        <v>182</v>
      </c>
      <c r="B104" s="12" t="s">
        <v>196</v>
      </c>
      <c r="C104" s="12">
        <v>1414</v>
      </c>
    </row>
    <row r="105" spans="1:3">
      <c r="A105" s="11" t="s">
        <v>182</v>
      </c>
      <c r="B105" s="12" t="s">
        <v>197</v>
      </c>
      <c r="C105" s="12">
        <v>9820</v>
      </c>
    </row>
    <row r="106" spans="1:3">
      <c r="A106" s="11" t="s">
        <v>182</v>
      </c>
      <c r="B106" s="12" t="s">
        <v>67</v>
      </c>
      <c r="C106" s="12">
        <v>34933</v>
      </c>
    </row>
    <row r="107" spans="1:3">
      <c r="A107" s="11" t="s">
        <v>182</v>
      </c>
      <c r="B107" s="12" t="s">
        <v>52</v>
      </c>
      <c r="C107" s="12">
        <v>4159</v>
      </c>
    </row>
    <row r="108" spans="1:3">
      <c r="A108" s="11" t="s">
        <v>182</v>
      </c>
      <c r="B108" s="12" t="s">
        <v>35</v>
      </c>
      <c r="C108" s="12">
        <v>831</v>
      </c>
    </row>
    <row r="109" spans="1:3">
      <c r="A109" s="11" t="s">
        <v>182</v>
      </c>
      <c r="B109" s="12" t="s">
        <v>198</v>
      </c>
      <c r="C109" s="12">
        <v>3538</v>
      </c>
    </row>
    <row r="110" spans="1:3">
      <c r="A110" s="11" t="s">
        <v>183</v>
      </c>
      <c r="B110" s="12" t="s">
        <v>18</v>
      </c>
      <c r="C110" s="12">
        <v>2025</v>
      </c>
    </row>
    <row r="111" spans="1:3">
      <c r="A111" s="11" t="s">
        <v>183</v>
      </c>
      <c r="B111" s="12" t="s">
        <v>45</v>
      </c>
      <c r="C111" s="12">
        <v>4316</v>
      </c>
    </row>
    <row r="112" spans="1:3">
      <c r="A112" s="11" t="s">
        <v>183</v>
      </c>
      <c r="B112" s="12" t="s">
        <v>27</v>
      </c>
      <c r="C112" s="12">
        <v>4554</v>
      </c>
    </row>
    <row r="113" spans="1:3">
      <c r="A113" s="11" t="s">
        <v>183</v>
      </c>
      <c r="B113" s="12" t="s">
        <v>90</v>
      </c>
      <c r="C113" s="12">
        <v>5603</v>
      </c>
    </row>
    <row r="114" spans="1:3">
      <c r="A114" s="11" t="s">
        <v>183</v>
      </c>
      <c r="B114" s="12" t="s">
        <v>122</v>
      </c>
      <c r="C114" s="12">
        <v>4816</v>
      </c>
    </row>
    <row r="115" spans="1:3">
      <c r="A115" s="11" t="s">
        <v>183</v>
      </c>
      <c r="B115" s="12" t="s">
        <v>126</v>
      </c>
      <c r="C115" s="12">
        <v>516</v>
      </c>
    </row>
    <row r="116" spans="1:3">
      <c r="A116" s="11" t="s">
        <v>183</v>
      </c>
      <c r="B116" s="12" t="s">
        <v>196</v>
      </c>
      <c r="C116" s="12">
        <v>1339</v>
      </c>
    </row>
    <row r="117" spans="1:3">
      <c r="A117" s="11" t="s">
        <v>183</v>
      </c>
      <c r="B117" s="12" t="s">
        <v>197</v>
      </c>
      <c r="C117" s="12">
        <v>7893</v>
      </c>
    </row>
    <row r="118" spans="1:3">
      <c r="A118" s="11" t="s">
        <v>183</v>
      </c>
      <c r="B118" s="12" t="s">
        <v>67</v>
      </c>
      <c r="C118" s="12">
        <v>33892</v>
      </c>
    </row>
    <row r="119" spans="1:3">
      <c r="A119" s="11" t="s">
        <v>183</v>
      </c>
      <c r="B119" s="12" t="s">
        <v>52</v>
      </c>
      <c r="C119" s="12">
        <v>4752</v>
      </c>
    </row>
    <row r="120" spans="1:3">
      <c r="A120" s="11" t="s">
        <v>183</v>
      </c>
      <c r="B120" s="12" t="s">
        <v>35</v>
      </c>
      <c r="C120" s="12">
        <v>744</v>
      </c>
    </row>
    <row r="121" spans="1:3">
      <c r="A121" s="11" t="s">
        <v>183</v>
      </c>
      <c r="B121" s="12" t="s">
        <v>198</v>
      </c>
      <c r="C121" s="12">
        <v>2967</v>
      </c>
    </row>
    <row r="122" spans="1:3">
      <c r="A122" s="11" t="s">
        <v>184</v>
      </c>
      <c r="B122" s="12" t="s">
        <v>18</v>
      </c>
      <c r="C122" s="12">
        <v>1925</v>
      </c>
    </row>
    <row r="123" spans="1:3">
      <c r="A123" s="11" t="s">
        <v>184</v>
      </c>
      <c r="B123" s="12" t="s">
        <v>45</v>
      </c>
      <c r="C123" s="12">
        <v>4819</v>
      </c>
    </row>
    <row r="124" spans="1:3">
      <c r="A124" s="11" t="s">
        <v>184</v>
      </c>
      <c r="B124" s="12" t="s">
        <v>27</v>
      </c>
      <c r="C124" s="12">
        <v>3534</v>
      </c>
    </row>
    <row r="125" spans="1:3">
      <c r="A125" s="11" t="s">
        <v>184</v>
      </c>
      <c r="B125" s="12" t="s">
        <v>90</v>
      </c>
      <c r="C125" s="12">
        <v>6068</v>
      </c>
    </row>
    <row r="126" spans="1:3">
      <c r="A126" s="11" t="s">
        <v>184</v>
      </c>
      <c r="B126" s="12" t="s">
        <v>122</v>
      </c>
      <c r="C126" s="12">
        <v>5524</v>
      </c>
    </row>
    <row r="127" spans="1:3">
      <c r="A127" s="11" t="s">
        <v>184</v>
      </c>
      <c r="B127" s="12" t="s">
        <v>126</v>
      </c>
      <c r="C127" s="12">
        <v>437</v>
      </c>
    </row>
    <row r="128" spans="1:3">
      <c r="A128" s="11" t="s">
        <v>184</v>
      </c>
      <c r="B128" s="12" t="s">
        <v>196</v>
      </c>
      <c r="C128" s="12">
        <v>1400</v>
      </c>
    </row>
    <row r="129" spans="1:3">
      <c r="A129" s="11" t="s">
        <v>184</v>
      </c>
      <c r="B129" s="12" t="s">
        <v>197</v>
      </c>
      <c r="C129" s="12">
        <v>9215</v>
      </c>
    </row>
    <row r="130" spans="1:3">
      <c r="A130" s="11" t="s">
        <v>184</v>
      </c>
      <c r="B130" s="12" t="s">
        <v>67</v>
      </c>
      <c r="C130" s="12">
        <v>32374</v>
      </c>
    </row>
    <row r="131" spans="1:3">
      <c r="A131" s="11" t="s">
        <v>184</v>
      </c>
      <c r="B131" s="12" t="s">
        <v>52</v>
      </c>
      <c r="C131" s="12">
        <v>4033</v>
      </c>
    </row>
    <row r="132" spans="1:3">
      <c r="A132" s="11" t="s">
        <v>184</v>
      </c>
      <c r="B132" s="12" t="s">
        <v>35</v>
      </c>
      <c r="C132" s="12">
        <v>942</v>
      </c>
    </row>
    <row r="133" spans="1:3">
      <c r="A133" s="11" t="s">
        <v>184</v>
      </c>
      <c r="B133" s="12" t="s">
        <v>198</v>
      </c>
      <c r="C133" s="12">
        <v>3360</v>
      </c>
    </row>
    <row r="134" spans="1:3">
      <c r="A134" s="11" t="s">
        <v>185</v>
      </c>
      <c r="B134" s="12" t="s">
        <v>18</v>
      </c>
      <c r="C134" s="12">
        <v>2234</v>
      </c>
    </row>
    <row r="135" spans="1:3">
      <c r="A135" s="11" t="s">
        <v>185</v>
      </c>
      <c r="B135" s="12" t="s">
        <v>45</v>
      </c>
      <c r="C135" s="12">
        <v>5061</v>
      </c>
    </row>
    <row r="136" spans="1:3">
      <c r="A136" s="11" t="s">
        <v>185</v>
      </c>
      <c r="B136" s="12" t="s">
        <v>27</v>
      </c>
      <c r="C136" s="12">
        <v>4304</v>
      </c>
    </row>
    <row r="137" spans="1:3">
      <c r="A137" s="11" t="s">
        <v>185</v>
      </c>
      <c r="B137" s="12" t="s">
        <v>90</v>
      </c>
      <c r="C137" s="12">
        <v>4767</v>
      </c>
    </row>
    <row r="138" spans="1:3">
      <c r="A138" s="11" t="s">
        <v>185</v>
      </c>
      <c r="B138" s="12" t="s">
        <v>122</v>
      </c>
      <c r="C138" s="12">
        <v>4243</v>
      </c>
    </row>
    <row r="139" spans="1:3">
      <c r="A139" s="11" t="s">
        <v>185</v>
      </c>
      <c r="B139" s="12" t="s">
        <v>126</v>
      </c>
      <c r="C139" s="12">
        <v>500</v>
      </c>
    </row>
    <row r="140" spans="1:3">
      <c r="A140" s="11" t="s">
        <v>185</v>
      </c>
      <c r="B140" s="12" t="s">
        <v>196</v>
      </c>
      <c r="C140" s="12">
        <v>1497</v>
      </c>
    </row>
    <row r="141" spans="1:3">
      <c r="A141" s="11" t="s">
        <v>185</v>
      </c>
      <c r="B141" s="12" t="s">
        <v>197</v>
      </c>
      <c r="C141" s="12">
        <v>8614</v>
      </c>
    </row>
    <row r="142" spans="1:3">
      <c r="A142" s="11" t="s">
        <v>185</v>
      </c>
      <c r="B142" s="12" t="s">
        <v>67</v>
      </c>
      <c r="C142" s="12">
        <v>38681</v>
      </c>
    </row>
    <row r="143" spans="1:3">
      <c r="A143" s="11" t="s">
        <v>185</v>
      </c>
      <c r="B143" s="12" t="s">
        <v>52</v>
      </c>
      <c r="C143" s="12">
        <v>4886</v>
      </c>
    </row>
    <row r="144" spans="1:3">
      <c r="A144" s="11" t="s">
        <v>185</v>
      </c>
      <c r="B144" s="12" t="s">
        <v>35</v>
      </c>
      <c r="C144" s="12">
        <v>956</v>
      </c>
    </row>
    <row r="145" spans="1:3">
      <c r="A145" s="11" t="s">
        <v>185</v>
      </c>
      <c r="B145" s="12" t="s">
        <v>198</v>
      </c>
      <c r="C145" s="12">
        <v>2830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2CF17-2D80-443B-92EB-881BCDA98726}">
  <dimension ref="A1:B12"/>
  <sheetViews>
    <sheetView workbookViewId="0">
      <selection sqref="A1:B12"/>
    </sheetView>
  </sheetViews>
  <sheetFormatPr defaultRowHeight="15"/>
  <sheetData>
    <row r="1" spans="1:2">
      <c r="A1" s="12" t="s">
        <v>18</v>
      </c>
      <c r="B1" s="12">
        <v>2234</v>
      </c>
    </row>
    <row r="2" spans="1:2">
      <c r="A2" s="12" t="s">
        <v>45</v>
      </c>
      <c r="B2" s="12">
        <v>5061</v>
      </c>
    </row>
    <row r="3" spans="1:2">
      <c r="A3" s="12" t="s">
        <v>27</v>
      </c>
      <c r="B3" s="12">
        <v>4304</v>
      </c>
    </row>
    <row r="4" spans="1:2">
      <c r="A4" s="12" t="s">
        <v>90</v>
      </c>
      <c r="B4" s="12">
        <v>4767</v>
      </c>
    </row>
    <row r="5" spans="1:2">
      <c r="A5" s="12" t="s">
        <v>122</v>
      </c>
      <c r="B5" s="12">
        <v>4243</v>
      </c>
    </row>
    <row r="6" spans="1:2">
      <c r="A6" s="12" t="s">
        <v>126</v>
      </c>
      <c r="B6" s="12">
        <v>500</v>
      </c>
    </row>
    <row r="7" spans="1:2">
      <c r="A7" s="12" t="s">
        <v>196</v>
      </c>
      <c r="B7" s="12">
        <v>1497</v>
      </c>
    </row>
    <row r="8" spans="1:2">
      <c r="A8" s="12" t="s">
        <v>197</v>
      </c>
      <c r="B8" s="12">
        <v>8614</v>
      </c>
    </row>
    <row r="9" spans="1:2">
      <c r="A9" s="12" t="s">
        <v>67</v>
      </c>
      <c r="B9" s="12">
        <v>38681</v>
      </c>
    </row>
    <row r="10" spans="1:2">
      <c r="A10" s="12" t="s">
        <v>52</v>
      </c>
      <c r="B10" s="12">
        <v>4886</v>
      </c>
    </row>
    <row r="11" spans="1:2">
      <c r="A11" s="12" t="s">
        <v>35</v>
      </c>
      <c r="B11" s="12">
        <v>956</v>
      </c>
    </row>
    <row r="12" spans="1:2">
      <c r="A12" s="12" t="s">
        <v>198</v>
      </c>
      <c r="B12" s="12">
        <v>2830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087F9-16C7-4780-9351-573AA27C76C7}">
  <dimension ref="A1:S42"/>
  <sheetViews>
    <sheetView workbookViewId="0">
      <selection activeCell="B1" sqref="B1:B11"/>
    </sheetView>
  </sheetViews>
  <sheetFormatPr defaultRowHeight="15"/>
  <cols>
    <col min="1" max="1" width="12.42578125" style="5" customWidth="1"/>
    <col min="2" max="2" width="52.5703125" style="5" customWidth="1"/>
    <col min="3" max="3" width="18.7109375" style="5" customWidth="1"/>
    <col min="4" max="4" width="13.85546875" style="5" customWidth="1"/>
    <col min="5" max="5" width="9.140625" style="5"/>
    <col min="6" max="6" width="18" style="5" customWidth="1"/>
    <col min="7" max="8" width="15.28515625" style="5" customWidth="1"/>
    <col min="9" max="9" width="18.85546875" style="5" customWidth="1"/>
    <col min="10" max="11" width="9.140625" style="5"/>
    <col min="12" max="12" width="13" style="5" customWidth="1"/>
    <col min="13" max="13" width="12.140625" style="5" customWidth="1"/>
    <col min="14" max="14" width="17.28515625" style="5" customWidth="1"/>
    <col min="15" max="15" width="20.5703125" style="5" customWidth="1"/>
    <col min="16" max="16" width="12.5703125" style="5" customWidth="1"/>
    <col min="17" max="18" width="19.28515625" style="5" customWidth="1"/>
    <col min="19" max="19" width="17.85546875" style="5" customWidth="1"/>
    <col min="20" max="16384" width="9.140625" style="5"/>
  </cols>
  <sheetData>
    <row r="1" spans="1:19">
      <c r="A1" s="7" t="s">
        <v>0</v>
      </c>
      <c r="B1" s="9" t="s">
        <v>2</v>
      </c>
      <c r="C1" s="9" t="s">
        <v>1</v>
      </c>
      <c r="D1" s="9" t="s">
        <v>3</v>
      </c>
      <c r="E1" s="9" t="s">
        <v>5</v>
      </c>
      <c r="F1" s="9" t="s">
        <v>199</v>
      </c>
      <c r="G1" s="9" t="s">
        <v>200</v>
      </c>
      <c r="H1" s="9" t="s">
        <v>201</v>
      </c>
      <c r="I1" s="9" t="s">
        <v>202</v>
      </c>
      <c r="J1" s="9" t="s">
        <v>203</v>
      </c>
      <c r="K1" s="9" t="s">
        <v>204</v>
      </c>
      <c r="L1" s="9" t="s">
        <v>205</v>
      </c>
      <c r="M1" s="9" t="s">
        <v>206</v>
      </c>
      <c r="N1" s="9" t="s">
        <v>207</v>
      </c>
      <c r="O1" s="9" t="s">
        <v>208</v>
      </c>
      <c r="P1" s="9" t="s">
        <v>138</v>
      </c>
      <c r="Q1" s="9" t="s">
        <v>8</v>
      </c>
      <c r="R1" s="9" t="s">
        <v>209</v>
      </c>
      <c r="S1" s="9" t="s">
        <v>210</v>
      </c>
    </row>
    <row r="2" spans="1:19">
      <c r="A2" s="7">
        <v>102885</v>
      </c>
      <c r="B2" s="9" t="s">
        <v>111</v>
      </c>
      <c r="C2" s="9" t="s">
        <v>110</v>
      </c>
      <c r="D2" s="9" t="s">
        <v>112</v>
      </c>
      <c r="E2" s="9" t="s">
        <v>19</v>
      </c>
      <c r="F2" s="9">
        <v>13.76</v>
      </c>
      <c r="G2" s="9">
        <v>12.1</v>
      </c>
      <c r="H2" s="9">
        <v>11.31</v>
      </c>
      <c r="I2" s="9">
        <v>11.17</v>
      </c>
      <c r="J2" s="9">
        <v>0.93</v>
      </c>
      <c r="K2" s="9">
        <v>0.9</v>
      </c>
      <c r="L2" s="9">
        <v>0.93</v>
      </c>
      <c r="M2" s="9">
        <v>1.29</v>
      </c>
      <c r="N2" s="9">
        <v>13</v>
      </c>
      <c r="O2" s="9">
        <v>-24.42</v>
      </c>
      <c r="P2" s="9">
        <v>7350</v>
      </c>
      <c r="Q2" s="9">
        <v>1.57</v>
      </c>
      <c r="R2" s="9">
        <v>4</v>
      </c>
      <c r="S2" s="9" t="s">
        <v>22</v>
      </c>
    </row>
    <row r="3" spans="1:19">
      <c r="A3" s="7">
        <v>102886</v>
      </c>
      <c r="B3" s="9" t="s">
        <v>114</v>
      </c>
      <c r="C3" s="9" t="s">
        <v>110</v>
      </c>
      <c r="D3" s="9" t="s">
        <v>45</v>
      </c>
      <c r="E3" s="9" t="s">
        <v>19</v>
      </c>
      <c r="F3" s="9">
        <v>16.3</v>
      </c>
      <c r="G3" s="9">
        <v>15.61</v>
      </c>
      <c r="H3" s="9">
        <v>15.86</v>
      </c>
      <c r="I3" s="9">
        <v>14.49</v>
      </c>
      <c r="J3" s="9">
        <v>1.1200000000000001</v>
      </c>
      <c r="K3" s="9">
        <v>0.92</v>
      </c>
      <c r="L3" s="9">
        <v>0.82</v>
      </c>
      <c r="M3" s="9">
        <v>1.21</v>
      </c>
      <c r="N3" s="9">
        <v>19</v>
      </c>
      <c r="O3" s="9">
        <v>-13.43</v>
      </c>
      <c r="P3" s="9">
        <v>41728</v>
      </c>
      <c r="Q3" s="9">
        <v>1.51</v>
      </c>
      <c r="R3" s="9">
        <v>5</v>
      </c>
      <c r="S3" s="9" t="s">
        <v>48</v>
      </c>
    </row>
    <row r="4" spans="1:19">
      <c r="A4" s="7">
        <v>102887</v>
      </c>
      <c r="B4" s="9" t="s">
        <v>116</v>
      </c>
      <c r="C4" s="9" t="s">
        <v>110</v>
      </c>
      <c r="D4" s="9" t="s">
        <v>90</v>
      </c>
      <c r="E4" s="9" t="s">
        <v>19</v>
      </c>
      <c r="F4" s="9">
        <v>17.43</v>
      </c>
      <c r="G4" s="9">
        <v>15.34</v>
      </c>
      <c r="H4" s="9">
        <v>15.78</v>
      </c>
      <c r="I4" s="9">
        <v>13.55</v>
      </c>
      <c r="J4" s="9">
        <v>1.79</v>
      </c>
      <c r="K4" s="9">
        <v>1</v>
      </c>
      <c r="L4" s="9">
        <v>0.96</v>
      </c>
      <c r="M4" s="9">
        <v>1.37</v>
      </c>
      <c r="N4" s="9">
        <v>16</v>
      </c>
      <c r="O4" s="9">
        <v>-12.14</v>
      </c>
      <c r="P4" s="9">
        <v>17912</v>
      </c>
      <c r="Q4" s="9">
        <v>1.64</v>
      </c>
      <c r="R4" s="9">
        <v>5</v>
      </c>
      <c r="S4" s="9" t="s">
        <v>64</v>
      </c>
    </row>
    <row r="5" spans="1:19">
      <c r="A5" s="7">
        <v>119551</v>
      </c>
      <c r="B5" s="9" t="s">
        <v>16</v>
      </c>
      <c r="C5" s="9" t="s">
        <v>15</v>
      </c>
      <c r="D5" s="9" t="s">
        <v>18</v>
      </c>
      <c r="E5" s="9" t="s">
        <v>19</v>
      </c>
      <c r="F5" s="9">
        <v>12.42</v>
      </c>
      <c r="G5" s="9">
        <v>12.36</v>
      </c>
      <c r="H5" s="9">
        <v>14.45</v>
      </c>
      <c r="I5" s="9">
        <v>11.49</v>
      </c>
      <c r="J5" s="9">
        <v>0.87</v>
      </c>
      <c r="K5" s="9">
        <v>0.89</v>
      </c>
      <c r="L5" s="9">
        <v>0.88</v>
      </c>
      <c r="M5" s="9">
        <v>1.29</v>
      </c>
      <c r="N5" s="9">
        <v>14</v>
      </c>
      <c r="O5" s="9">
        <v>-21.7</v>
      </c>
      <c r="P5" s="9">
        <v>14288</v>
      </c>
      <c r="Q5" s="9">
        <v>1.54</v>
      </c>
      <c r="R5" s="9">
        <v>4</v>
      </c>
      <c r="S5" s="9" t="s">
        <v>22</v>
      </c>
    </row>
    <row r="6" spans="1:19">
      <c r="A6" s="7">
        <v>119552</v>
      </c>
      <c r="B6" s="9" t="s">
        <v>24</v>
      </c>
      <c r="C6" s="9" t="s">
        <v>15</v>
      </c>
      <c r="D6" s="9" t="s">
        <v>18</v>
      </c>
      <c r="E6" s="9" t="s">
        <v>25</v>
      </c>
      <c r="F6" s="9">
        <v>15.25</v>
      </c>
      <c r="G6" s="9">
        <v>11.3</v>
      </c>
      <c r="H6" s="9">
        <v>14.23</v>
      </c>
      <c r="I6" s="9">
        <v>9.52</v>
      </c>
      <c r="J6" s="9">
        <v>1.78</v>
      </c>
      <c r="K6" s="9">
        <v>0.87</v>
      </c>
      <c r="L6" s="9">
        <v>0.81</v>
      </c>
      <c r="M6" s="9">
        <v>1.29</v>
      </c>
      <c r="N6" s="9">
        <v>14</v>
      </c>
      <c r="O6" s="9">
        <v>-24.43</v>
      </c>
      <c r="P6" s="9">
        <v>1231</v>
      </c>
      <c r="Q6" s="9">
        <v>0.66</v>
      </c>
      <c r="R6" s="9">
        <v>3</v>
      </c>
      <c r="S6" s="9" t="s">
        <v>22</v>
      </c>
    </row>
    <row r="7" spans="1:19">
      <c r="A7" s="7">
        <v>119598</v>
      </c>
      <c r="B7" s="9" t="s">
        <v>26</v>
      </c>
      <c r="C7" s="9" t="s">
        <v>15</v>
      </c>
      <c r="D7" s="9" t="s">
        <v>27</v>
      </c>
      <c r="E7" s="9" t="s">
        <v>19</v>
      </c>
      <c r="F7" s="9">
        <v>24.56</v>
      </c>
      <c r="G7" s="9">
        <v>23.39</v>
      </c>
      <c r="H7" s="9">
        <v>20.67</v>
      </c>
      <c r="I7" s="9">
        <v>22.16</v>
      </c>
      <c r="J7" s="9">
        <v>1.23</v>
      </c>
      <c r="K7" s="9">
        <v>0.89</v>
      </c>
      <c r="L7" s="9">
        <v>0.94</v>
      </c>
      <c r="M7" s="9">
        <v>1.35</v>
      </c>
      <c r="N7" s="9">
        <v>25</v>
      </c>
      <c r="O7" s="9">
        <v>-13.35</v>
      </c>
      <c r="P7" s="9">
        <v>19259</v>
      </c>
      <c r="Q7" s="9">
        <v>1.43</v>
      </c>
      <c r="R7" s="9">
        <v>5</v>
      </c>
      <c r="S7" s="9" t="s">
        <v>30</v>
      </c>
    </row>
    <row r="8" spans="1:19">
      <c r="A8" s="7">
        <v>119599</v>
      </c>
      <c r="B8" s="9" t="s">
        <v>32</v>
      </c>
      <c r="C8" s="9" t="s">
        <v>15</v>
      </c>
      <c r="D8" s="9" t="s">
        <v>27</v>
      </c>
      <c r="E8" s="9" t="s">
        <v>25</v>
      </c>
      <c r="F8" s="9">
        <v>20.59</v>
      </c>
      <c r="G8" s="9">
        <v>23.14</v>
      </c>
      <c r="H8" s="9">
        <v>21.82</v>
      </c>
      <c r="I8" s="9">
        <v>22.01</v>
      </c>
      <c r="J8" s="9">
        <v>1.1299999999999999</v>
      </c>
      <c r="K8" s="9">
        <v>1.04</v>
      </c>
      <c r="L8" s="9">
        <v>0.93</v>
      </c>
      <c r="M8" s="9">
        <v>1.67</v>
      </c>
      <c r="N8" s="9">
        <v>25</v>
      </c>
      <c r="O8" s="9">
        <v>-24.78</v>
      </c>
      <c r="P8" s="9">
        <v>36061</v>
      </c>
      <c r="Q8" s="9">
        <v>0.72</v>
      </c>
      <c r="R8" s="9">
        <v>4</v>
      </c>
      <c r="S8" s="9" t="s">
        <v>30</v>
      </c>
    </row>
    <row r="9" spans="1:19">
      <c r="A9" s="7">
        <v>119120</v>
      </c>
      <c r="B9" s="9" t="s">
        <v>33</v>
      </c>
      <c r="C9" s="9" t="s">
        <v>15</v>
      </c>
      <c r="D9" s="9" t="s">
        <v>35</v>
      </c>
      <c r="E9" s="9" t="s">
        <v>19</v>
      </c>
      <c r="F9" s="9">
        <v>5.34</v>
      </c>
      <c r="G9" s="9">
        <v>6.07</v>
      </c>
      <c r="H9" s="9">
        <v>5.43</v>
      </c>
      <c r="I9" s="9">
        <v>4.47</v>
      </c>
      <c r="J9" s="9">
        <v>1.6</v>
      </c>
      <c r="K9" s="9">
        <v>0.22</v>
      </c>
      <c r="L9" s="9">
        <v>1.52</v>
      </c>
      <c r="M9" s="9">
        <v>2.11</v>
      </c>
      <c r="N9" s="9">
        <v>4</v>
      </c>
      <c r="O9" s="9">
        <v>-2.2999999999999998</v>
      </c>
      <c r="P9" s="9">
        <v>24101</v>
      </c>
      <c r="Q9" s="9">
        <v>0.77</v>
      </c>
      <c r="R9" s="9">
        <v>5</v>
      </c>
      <c r="S9" s="9" t="s">
        <v>38</v>
      </c>
    </row>
    <row r="10" spans="1:19">
      <c r="A10" s="7">
        <v>118632</v>
      </c>
      <c r="B10" s="9" t="s">
        <v>72</v>
      </c>
      <c r="C10" s="9" t="s">
        <v>71</v>
      </c>
      <c r="D10" s="9" t="s">
        <v>18</v>
      </c>
      <c r="E10" s="9" t="s">
        <v>19</v>
      </c>
      <c r="F10" s="9">
        <v>15.84</v>
      </c>
      <c r="G10" s="9">
        <v>14</v>
      </c>
      <c r="H10" s="9">
        <v>14.7</v>
      </c>
      <c r="I10" s="9">
        <v>13.14</v>
      </c>
      <c r="J10" s="9">
        <v>0.86</v>
      </c>
      <c r="K10" s="9">
        <v>0.88</v>
      </c>
      <c r="L10" s="9">
        <v>1</v>
      </c>
      <c r="M10" s="9">
        <v>1.68</v>
      </c>
      <c r="N10" s="9">
        <v>14</v>
      </c>
      <c r="O10" s="9">
        <v>-16.07</v>
      </c>
      <c r="P10" s="9">
        <v>20909</v>
      </c>
      <c r="Q10" s="9">
        <v>1.51</v>
      </c>
      <c r="R10" s="9">
        <v>4</v>
      </c>
      <c r="S10" s="9" t="s">
        <v>22</v>
      </c>
    </row>
    <row r="11" spans="1:19">
      <c r="A11" s="7">
        <v>118633</v>
      </c>
      <c r="B11" s="9" t="s">
        <v>74</v>
      </c>
      <c r="C11" s="9" t="s">
        <v>71</v>
      </c>
      <c r="D11" s="9" t="s">
        <v>18</v>
      </c>
      <c r="E11" s="9" t="s">
        <v>25</v>
      </c>
      <c r="F11" s="9">
        <v>14.42</v>
      </c>
      <c r="G11" s="9">
        <v>12.33</v>
      </c>
      <c r="H11" s="9">
        <v>14.72</v>
      </c>
      <c r="I11" s="9">
        <v>10.63</v>
      </c>
      <c r="J11" s="9">
        <v>1.7</v>
      </c>
      <c r="K11" s="9">
        <v>1.02</v>
      </c>
      <c r="L11" s="9">
        <v>0.88</v>
      </c>
      <c r="M11" s="9">
        <v>1.48</v>
      </c>
      <c r="N11" s="9">
        <v>14</v>
      </c>
      <c r="O11" s="9">
        <v>-18.14</v>
      </c>
      <c r="P11" s="9">
        <v>39475</v>
      </c>
      <c r="Q11" s="9">
        <v>0.72</v>
      </c>
      <c r="R11" s="9">
        <v>3</v>
      </c>
      <c r="S11" s="9" t="s">
        <v>22</v>
      </c>
    </row>
    <row r="12" spans="1:19">
      <c r="A12" s="7">
        <v>118634</v>
      </c>
      <c r="B12" s="9" t="s">
        <v>75</v>
      </c>
      <c r="C12" s="9" t="s">
        <v>71</v>
      </c>
      <c r="D12" s="9" t="s">
        <v>27</v>
      </c>
      <c r="E12" s="9" t="s">
        <v>19</v>
      </c>
      <c r="F12" s="9">
        <v>21.3</v>
      </c>
      <c r="G12" s="9">
        <v>20.149999999999999</v>
      </c>
      <c r="H12" s="9">
        <v>21.88</v>
      </c>
      <c r="I12" s="9">
        <v>19.350000000000001</v>
      </c>
      <c r="J12" s="9">
        <v>0.8</v>
      </c>
      <c r="K12" s="9">
        <v>1.03</v>
      </c>
      <c r="L12" s="9">
        <v>0.81</v>
      </c>
      <c r="M12" s="9">
        <v>1.1399999999999999</v>
      </c>
      <c r="N12" s="9">
        <v>25</v>
      </c>
      <c r="O12" s="9">
        <v>-30.87</v>
      </c>
      <c r="P12" s="9">
        <v>43630</v>
      </c>
      <c r="Q12" s="9">
        <v>1.53</v>
      </c>
      <c r="R12" s="9">
        <v>4</v>
      </c>
      <c r="S12" s="9" t="s">
        <v>30</v>
      </c>
    </row>
    <row r="13" spans="1:19">
      <c r="A13" s="7">
        <v>118635</v>
      </c>
      <c r="B13" s="9" t="s">
        <v>77</v>
      </c>
      <c r="C13" s="9" t="s">
        <v>71</v>
      </c>
      <c r="D13" s="9" t="s">
        <v>78</v>
      </c>
      <c r="E13" s="9" t="s">
        <v>25</v>
      </c>
      <c r="F13" s="9">
        <v>10.14</v>
      </c>
      <c r="G13" s="9">
        <v>11.77</v>
      </c>
      <c r="H13" s="9">
        <v>12.31</v>
      </c>
      <c r="I13" s="9">
        <v>9.9700000000000006</v>
      </c>
      <c r="J13" s="9">
        <v>1.8</v>
      </c>
      <c r="K13" s="9">
        <v>1.04</v>
      </c>
      <c r="L13" s="9">
        <v>0.91</v>
      </c>
      <c r="M13" s="9">
        <v>1.24</v>
      </c>
      <c r="N13" s="9">
        <v>13</v>
      </c>
      <c r="O13" s="9">
        <v>-26.75</v>
      </c>
      <c r="P13" s="9">
        <v>20284</v>
      </c>
      <c r="Q13" s="9">
        <v>0.89</v>
      </c>
      <c r="R13" s="9">
        <v>5</v>
      </c>
      <c r="S13" s="9" t="s">
        <v>22</v>
      </c>
    </row>
    <row r="14" spans="1:19">
      <c r="A14" s="7">
        <v>118636</v>
      </c>
      <c r="B14" s="9" t="s">
        <v>82</v>
      </c>
      <c r="C14" s="9" t="s">
        <v>71</v>
      </c>
      <c r="D14" s="9" t="s">
        <v>35</v>
      </c>
      <c r="E14" s="9" t="s">
        <v>19</v>
      </c>
      <c r="F14" s="9">
        <v>6.19</v>
      </c>
      <c r="G14" s="9">
        <v>5.31</v>
      </c>
      <c r="H14" s="9">
        <v>8.7100000000000009</v>
      </c>
      <c r="I14" s="9">
        <v>4.42</v>
      </c>
      <c r="J14" s="9">
        <v>0.89</v>
      </c>
      <c r="K14" s="9">
        <v>0.37</v>
      </c>
      <c r="L14" s="9">
        <v>1.33</v>
      </c>
      <c r="M14" s="9">
        <v>2.38</v>
      </c>
      <c r="N14" s="9">
        <v>4</v>
      </c>
      <c r="O14" s="9">
        <v>-2.23</v>
      </c>
      <c r="P14" s="9">
        <v>30030</v>
      </c>
      <c r="Q14" s="9">
        <v>0.55000000000000004</v>
      </c>
      <c r="R14" s="9">
        <v>4</v>
      </c>
      <c r="S14" s="9" t="s">
        <v>38</v>
      </c>
    </row>
    <row r="15" spans="1:19">
      <c r="A15" s="7">
        <v>148567</v>
      </c>
      <c r="B15" s="9" t="s">
        <v>119</v>
      </c>
      <c r="C15" s="9" t="s">
        <v>118</v>
      </c>
      <c r="D15" s="9" t="s">
        <v>18</v>
      </c>
      <c r="E15" s="9" t="s">
        <v>19</v>
      </c>
      <c r="F15" s="9">
        <v>15.12</v>
      </c>
      <c r="G15" s="9">
        <v>14.81</v>
      </c>
      <c r="H15" s="9">
        <v>12.68</v>
      </c>
      <c r="I15" s="9">
        <v>13.19</v>
      </c>
      <c r="J15" s="9">
        <v>1.62</v>
      </c>
      <c r="K15" s="9">
        <v>0.96</v>
      </c>
      <c r="L15" s="9">
        <v>1.06</v>
      </c>
      <c r="M15" s="9">
        <v>1.66</v>
      </c>
      <c r="N15" s="9">
        <v>14</v>
      </c>
      <c r="O15" s="9">
        <v>-17.07</v>
      </c>
      <c r="P15" s="9">
        <v>11361</v>
      </c>
      <c r="Q15" s="9">
        <v>1.46</v>
      </c>
      <c r="R15" s="9">
        <v>5</v>
      </c>
      <c r="S15" s="9" t="s">
        <v>22</v>
      </c>
    </row>
    <row r="16" spans="1:19">
      <c r="A16" s="7">
        <v>148568</v>
      </c>
      <c r="B16" s="9" t="s">
        <v>121</v>
      </c>
      <c r="C16" s="9" t="s">
        <v>118</v>
      </c>
      <c r="D16" s="9" t="s">
        <v>122</v>
      </c>
      <c r="E16" s="9" t="s">
        <v>19</v>
      </c>
      <c r="F16" s="9">
        <v>14.91</v>
      </c>
      <c r="G16" s="9">
        <v>14.56</v>
      </c>
      <c r="H16" s="9">
        <v>15.68</v>
      </c>
      <c r="I16" s="9">
        <v>12.86</v>
      </c>
      <c r="J16" s="9">
        <v>1.7</v>
      </c>
      <c r="K16" s="9">
        <v>0.99</v>
      </c>
      <c r="L16" s="9">
        <v>0.91</v>
      </c>
      <c r="M16" s="9">
        <v>1.55</v>
      </c>
      <c r="N16" s="9">
        <v>16</v>
      </c>
      <c r="O16" s="9">
        <v>-33.15</v>
      </c>
      <c r="P16" s="9">
        <v>49046</v>
      </c>
      <c r="Q16" s="9">
        <v>1.52</v>
      </c>
      <c r="R16" s="9">
        <v>5</v>
      </c>
      <c r="S16" s="9" t="s">
        <v>64</v>
      </c>
    </row>
    <row r="17" spans="1:19">
      <c r="A17" s="7">
        <v>148569</v>
      </c>
      <c r="B17" s="9" t="s">
        <v>125</v>
      </c>
      <c r="C17" s="9" t="s">
        <v>118</v>
      </c>
      <c r="D17" s="9" t="s">
        <v>126</v>
      </c>
      <c r="E17" s="9" t="s">
        <v>19</v>
      </c>
      <c r="F17" s="9">
        <v>11.16</v>
      </c>
      <c r="G17" s="9">
        <v>13.58</v>
      </c>
      <c r="H17" s="9">
        <v>14.26</v>
      </c>
      <c r="I17" s="9">
        <v>13.04</v>
      </c>
      <c r="J17" s="9">
        <v>0.54</v>
      </c>
      <c r="K17" s="9">
        <v>0.98</v>
      </c>
      <c r="L17" s="9">
        <v>0.8</v>
      </c>
      <c r="M17" s="9">
        <v>1.03</v>
      </c>
      <c r="N17" s="9">
        <v>17</v>
      </c>
      <c r="O17" s="9">
        <v>-22.62</v>
      </c>
      <c r="P17" s="9">
        <v>2989</v>
      </c>
      <c r="Q17" s="9">
        <v>1.6</v>
      </c>
      <c r="R17" s="9">
        <v>5</v>
      </c>
      <c r="S17" s="9" t="s">
        <v>48</v>
      </c>
    </row>
    <row r="18" spans="1:19">
      <c r="A18" s="7">
        <v>120841</v>
      </c>
      <c r="B18" s="9" t="s">
        <v>85</v>
      </c>
      <c r="C18" s="9" t="s">
        <v>84</v>
      </c>
      <c r="D18" s="9" t="s">
        <v>18</v>
      </c>
      <c r="E18" s="9" t="s">
        <v>19</v>
      </c>
      <c r="F18" s="9">
        <v>14.37</v>
      </c>
      <c r="G18" s="9">
        <v>12.25</v>
      </c>
      <c r="H18" s="9">
        <v>13.42</v>
      </c>
      <c r="I18" s="9">
        <v>10.98</v>
      </c>
      <c r="J18" s="9">
        <v>1.27</v>
      </c>
      <c r="K18" s="9">
        <v>0.93</v>
      </c>
      <c r="L18" s="9">
        <v>0.87</v>
      </c>
      <c r="M18" s="9">
        <v>1.34</v>
      </c>
      <c r="N18" s="9">
        <v>14</v>
      </c>
      <c r="O18" s="9">
        <v>-17.86</v>
      </c>
      <c r="P18" s="9">
        <v>35585</v>
      </c>
      <c r="Q18" s="9">
        <v>1.59</v>
      </c>
      <c r="R18" s="9">
        <v>3</v>
      </c>
      <c r="S18" s="9" t="s">
        <v>22</v>
      </c>
    </row>
    <row r="19" spans="1:19">
      <c r="A19" s="7">
        <v>120842</v>
      </c>
      <c r="B19" s="9" t="s">
        <v>87</v>
      </c>
      <c r="C19" s="9" t="s">
        <v>84</v>
      </c>
      <c r="D19" s="9" t="s">
        <v>45</v>
      </c>
      <c r="E19" s="9" t="s">
        <v>19</v>
      </c>
      <c r="F19" s="9">
        <v>17.12</v>
      </c>
      <c r="G19" s="9">
        <v>18.23</v>
      </c>
      <c r="H19" s="9">
        <v>17.75</v>
      </c>
      <c r="I19" s="9">
        <v>16.32</v>
      </c>
      <c r="J19" s="9">
        <v>1.91</v>
      </c>
      <c r="K19" s="9">
        <v>1</v>
      </c>
      <c r="L19" s="9">
        <v>0.96</v>
      </c>
      <c r="M19" s="9">
        <v>1.27</v>
      </c>
      <c r="N19" s="9">
        <v>19</v>
      </c>
      <c r="O19" s="9">
        <v>-21.92</v>
      </c>
      <c r="P19" s="9">
        <v>47469</v>
      </c>
      <c r="Q19" s="9">
        <v>1.56</v>
      </c>
      <c r="R19" s="9">
        <v>4</v>
      </c>
      <c r="S19" s="9" t="s">
        <v>48</v>
      </c>
    </row>
    <row r="20" spans="1:19">
      <c r="A20" s="7">
        <v>120843</v>
      </c>
      <c r="B20" s="9" t="s">
        <v>89</v>
      </c>
      <c r="C20" s="9" t="s">
        <v>84</v>
      </c>
      <c r="D20" s="9" t="s">
        <v>90</v>
      </c>
      <c r="E20" s="9" t="s">
        <v>19</v>
      </c>
      <c r="F20" s="9">
        <v>15.74</v>
      </c>
      <c r="G20" s="9">
        <v>15.65</v>
      </c>
      <c r="H20" s="9">
        <v>13.5</v>
      </c>
      <c r="I20" s="9">
        <v>13.8</v>
      </c>
      <c r="J20" s="9">
        <v>1.85</v>
      </c>
      <c r="K20" s="9">
        <v>0.95</v>
      </c>
      <c r="L20" s="9">
        <v>0.98</v>
      </c>
      <c r="M20" s="9">
        <v>1.57</v>
      </c>
      <c r="N20" s="9">
        <v>16</v>
      </c>
      <c r="O20" s="9">
        <v>-19.5</v>
      </c>
      <c r="P20" s="9">
        <v>35012</v>
      </c>
      <c r="Q20" s="9">
        <v>1.45</v>
      </c>
      <c r="R20" s="9">
        <v>5</v>
      </c>
      <c r="S20" s="9" t="s">
        <v>64</v>
      </c>
    </row>
    <row r="21" spans="1:19">
      <c r="A21" s="7">
        <v>120844</v>
      </c>
      <c r="B21" s="9" t="s">
        <v>92</v>
      </c>
      <c r="C21" s="9" t="s">
        <v>84</v>
      </c>
      <c r="D21" s="9" t="s">
        <v>67</v>
      </c>
      <c r="E21" s="9" t="s">
        <v>19</v>
      </c>
      <c r="F21" s="9">
        <v>4.26</v>
      </c>
      <c r="G21" s="9">
        <v>6.18</v>
      </c>
      <c r="H21" s="9">
        <v>8.26</v>
      </c>
      <c r="I21" s="9">
        <v>4.66</v>
      </c>
      <c r="J21" s="9">
        <v>1.52</v>
      </c>
      <c r="K21" s="9">
        <v>0.47</v>
      </c>
      <c r="L21" s="9">
        <v>6.18</v>
      </c>
      <c r="M21" s="9">
        <v>9.6999999999999993</v>
      </c>
      <c r="N21" s="9">
        <v>0.5</v>
      </c>
      <c r="O21" s="9">
        <v>-3.81</v>
      </c>
      <c r="P21" s="9">
        <v>27623</v>
      </c>
      <c r="Q21" s="9">
        <v>0.6</v>
      </c>
      <c r="R21" s="9">
        <v>3</v>
      </c>
      <c r="S21" s="9" t="s">
        <v>38</v>
      </c>
    </row>
    <row r="22" spans="1:19">
      <c r="A22" s="7">
        <v>120503</v>
      </c>
      <c r="B22" s="9" t="s">
        <v>56</v>
      </c>
      <c r="C22" s="9" t="s">
        <v>55</v>
      </c>
      <c r="D22" s="9" t="s">
        <v>18</v>
      </c>
      <c r="E22" s="9" t="s">
        <v>19</v>
      </c>
      <c r="F22" s="9">
        <v>15.63</v>
      </c>
      <c r="G22" s="9">
        <v>11.54</v>
      </c>
      <c r="H22" s="9">
        <v>11.46</v>
      </c>
      <c r="I22" s="9">
        <v>10.88</v>
      </c>
      <c r="J22" s="9">
        <v>0.66</v>
      </c>
      <c r="K22" s="9">
        <v>0.96</v>
      </c>
      <c r="L22" s="9">
        <v>0.82</v>
      </c>
      <c r="M22" s="9">
        <v>1.1200000000000001</v>
      </c>
      <c r="N22" s="9">
        <v>14</v>
      </c>
      <c r="O22" s="9">
        <v>-25.91</v>
      </c>
      <c r="P22" s="9">
        <v>36022</v>
      </c>
      <c r="Q22" s="9">
        <v>1.42</v>
      </c>
      <c r="R22" s="9">
        <v>4</v>
      </c>
      <c r="S22" s="9" t="s">
        <v>22</v>
      </c>
    </row>
    <row r="23" spans="1:19">
      <c r="A23" s="7">
        <v>120504</v>
      </c>
      <c r="B23" s="9" t="s">
        <v>58</v>
      </c>
      <c r="C23" s="9" t="s">
        <v>55</v>
      </c>
      <c r="D23" s="9" t="s">
        <v>18</v>
      </c>
      <c r="E23" s="9" t="s">
        <v>25</v>
      </c>
      <c r="F23" s="9">
        <v>14.12</v>
      </c>
      <c r="G23" s="9">
        <v>14.41</v>
      </c>
      <c r="H23" s="9">
        <v>13.02</v>
      </c>
      <c r="I23" s="9">
        <v>13.53</v>
      </c>
      <c r="J23" s="9">
        <v>0.88</v>
      </c>
      <c r="K23" s="9">
        <v>1.03</v>
      </c>
      <c r="L23" s="9">
        <v>1.03</v>
      </c>
      <c r="M23" s="9">
        <v>1.27</v>
      </c>
      <c r="N23" s="9">
        <v>14</v>
      </c>
      <c r="O23" s="9">
        <v>-26.59</v>
      </c>
      <c r="P23" s="9">
        <v>41553</v>
      </c>
      <c r="Q23" s="9">
        <v>0.8</v>
      </c>
      <c r="R23" s="9">
        <v>3</v>
      </c>
      <c r="S23" s="9" t="s">
        <v>22</v>
      </c>
    </row>
    <row r="24" spans="1:19">
      <c r="A24" s="7">
        <v>120505</v>
      </c>
      <c r="B24" s="9" t="s">
        <v>59</v>
      </c>
      <c r="C24" s="9" t="s">
        <v>55</v>
      </c>
      <c r="D24" s="9" t="s">
        <v>45</v>
      </c>
      <c r="E24" s="9" t="s">
        <v>19</v>
      </c>
      <c r="F24" s="9">
        <v>14.02</v>
      </c>
      <c r="G24" s="9">
        <v>18.079999999999998</v>
      </c>
      <c r="H24" s="9">
        <v>17.55</v>
      </c>
      <c r="I24" s="9">
        <v>17.190000000000001</v>
      </c>
      <c r="J24" s="9">
        <v>0.89</v>
      </c>
      <c r="K24" s="9">
        <v>1</v>
      </c>
      <c r="L24" s="9">
        <v>0.95</v>
      </c>
      <c r="M24" s="9">
        <v>1.45</v>
      </c>
      <c r="N24" s="9">
        <v>19</v>
      </c>
      <c r="O24" s="9">
        <v>-21.84</v>
      </c>
      <c r="P24" s="9">
        <v>979</v>
      </c>
      <c r="Q24" s="9">
        <v>1.36</v>
      </c>
      <c r="R24" s="9">
        <v>3</v>
      </c>
      <c r="S24" s="9" t="s">
        <v>48</v>
      </c>
    </row>
    <row r="25" spans="1:19">
      <c r="A25" s="7">
        <v>120506</v>
      </c>
      <c r="B25" s="9" t="s">
        <v>61</v>
      </c>
      <c r="C25" s="9" t="s">
        <v>55</v>
      </c>
      <c r="D25" s="9" t="s">
        <v>62</v>
      </c>
      <c r="E25" s="9" t="s">
        <v>19</v>
      </c>
      <c r="F25" s="9">
        <v>16.670000000000002</v>
      </c>
      <c r="G25" s="9">
        <v>14.76</v>
      </c>
      <c r="H25" s="9">
        <v>12.6</v>
      </c>
      <c r="I25" s="9">
        <v>14.21</v>
      </c>
      <c r="J25" s="9">
        <v>0.55000000000000004</v>
      </c>
      <c r="K25" s="9">
        <v>0.92</v>
      </c>
      <c r="L25" s="9">
        <v>0.98</v>
      </c>
      <c r="M25" s="9">
        <v>1.5</v>
      </c>
      <c r="N25" s="9">
        <v>15</v>
      </c>
      <c r="O25" s="9">
        <v>-21.89</v>
      </c>
      <c r="P25" s="9">
        <v>2571</v>
      </c>
      <c r="Q25" s="9">
        <v>1.41</v>
      </c>
      <c r="R25" s="9">
        <v>4</v>
      </c>
      <c r="S25" s="9" t="s">
        <v>64</v>
      </c>
    </row>
    <row r="26" spans="1:19">
      <c r="A26" s="7">
        <v>120507</v>
      </c>
      <c r="B26" s="9" t="s">
        <v>66</v>
      </c>
      <c r="C26" s="9" t="s">
        <v>55</v>
      </c>
      <c r="D26" s="9" t="s">
        <v>67</v>
      </c>
      <c r="E26" s="9" t="s">
        <v>19</v>
      </c>
      <c r="F26" s="9">
        <v>8.89</v>
      </c>
      <c r="G26" s="9">
        <v>7.68</v>
      </c>
      <c r="H26" s="9">
        <v>7.94</v>
      </c>
      <c r="I26" s="9">
        <v>5.83</v>
      </c>
      <c r="J26" s="9">
        <v>1.85</v>
      </c>
      <c r="K26" s="9">
        <v>0.26</v>
      </c>
      <c r="L26" s="9">
        <v>7.68</v>
      </c>
      <c r="M26" s="9">
        <v>10.37</v>
      </c>
      <c r="N26" s="9">
        <v>0.5</v>
      </c>
      <c r="O26" s="9">
        <v>-2.62</v>
      </c>
      <c r="P26" s="9">
        <v>39116</v>
      </c>
      <c r="Q26" s="9">
        <v>0.74</v>
      </c>
      <c r="R26" s="9">
        <v>5</v>
      </c>
      <c r="S26" s="9" t="s">
        <v>38</v>
      </c>
    </row>
    <row r="27" spans="1:19">
      <c r="A27" s="7">
        <v>100016</v>
      </c>
      <c r="B27" s="9" t="s">
        <v>41</v>
      </c>
      <c r="C27" s="9" t="s">
        <v>40</v>
      </c>
      <c r="D27" s="9" t="s">
        <v>18</v>
      </c>
      <c r="E27" s="9" t="s">
        <v>19</v>
      </c>
      <c r="F27" s="9">
        <v>10.94</v>
      </c>
      <c r="G27" s="9">
        <v>14.84</v>
      </c>
      <c r="H27" s="9">
        <v>11.32</v>
      </c>
      <c r="I27" s="9">
        <v>14.06</v>
      </c>
      <c r="J27" s="9">
        <v>0.78</v>
      </c>
      <c r="K27" s="9">
        <v>0.97</v>
      </c>
      <c r="L27" s="9">
        <v>1.06</v>
      </c>
      <c r="M27" s="9">
        <v>1.7</v>
      </c>
      <c r="N27" s="9">
        <v>14</v>
      </c>
      <c r="O27" s="9">
        <v>-17.41</v>
      </c>
      <c r="P27" s="9">
        <v>6434</v>
      </c>
      <c r="Q27" s="9">
        <v>1.55</v>
      </c>
      <c r="R27" s="9">
        <v>5</v>
      </c>
      <c r="S27" s="9" t="s">
        <v>22</v>
      </c>
    </row>
    <row r="28" spans="1:19">
      <c r="A28" s="7">
        <v>125497</v>
      </c>
      <c r="B28" s="9" t="s">
        <v>43</v>
      </c>
      <c r="C28" s="9" t="s">
        <v>40</v>
      </c>
      <c r="D28" s="9" t="s">
        <v>18</v>
      </c>
      <c r="E28" s="9" t="s">
        <v>25</v>
      </c>
      <c r="F28" s="9">
        <v>11.48</v>
      </c>
      <c r="G28" s="9">
        <v>13.38</v>
      </c>
      <c r="H28" s="9">
        <v>13.48</v>
      </c>
      <c r="I28" s="9">
        <v>12.25</v>
      </c>
      <c r="J28" s="9">
        <v>1.1299999999999999</v>
      </c>
      <c r="K28" s="9">
        <v>0.97</v>
      </c>
      <c r="L28" s="9">
        <v>0.96</v>
      </c>
      <c r="M28" s="9">
        <v>1.45</v>
      </c>
      <c r="N28" s="9">
        <v>14</v>
      </c>
      <c r="O28" s="9">
        <v>-33.5</v>
      </c>
      <c r="P28" s="9">
        <v>10611</v>
      </c>
      <c r="Q28" s="9">
        <v>0.92</v>
      </c>
      <c r="R28" s="9">
        <v>4</v>
      </c>
      <c r="S28" s="9" t="s">
        <v>22</v>
      </c>
    </row>
    <row r="29" spans="1:19">
      <c r="A29" s="7">
        <v>100033</v>
      </c>
      <c r="B29" s="9" t="s">
        <v>44</v>
      </c>
      <c r="C29" s="9" t="s">
        <v>40</v>
      </c>
      <c r="D29" s="9" t="s">
        <v>45</v>
      </c>
      <c r="E29" s="9" t="s">
        <v>19</v>
      </c>
      <c r="F29" s="9">
        <v>15.43</v>
      </c>
      <c r="G29" s="9">
        <v>16.579999999999998</v>
      </c>
      <c r="H29" s="9">
        <v>17.690000000000001</v>
      </c>
      <c r="I29" s="9">
        <v>15.63</v>
      </c>
      <c r="J29" s="9">
        <v>0.95</v>
      </c>
      <c r="K29" s="9">
        <v>0.91</v>
      </c>
      <c r="L29" s="9">
        <v>0.87</v>
      </c>
      <c r="M29" s="9">
        <v>1.44</v>
      </c>
      <c r="N29" s="9">
        <v>19</v>
      </c>
      <c r="O29" s="9">
        <v>-13.67</v>
      </c>
      <c r="P29" s="9">
        <v>23185</v>
      </c>
      <c r="Q29" s="9">
        <v>1.38</v>
      </c>
      <c r="R29" s="9">
        <v>5</v>
      </c>
      <c r="S29" s="9" t="s">
        <v>48</v>
      </c>
    </row>
    <row r="30" spans="1:19">
      <c r="A30" s="7">
        <v>125498</v>
      </c>
      <c r="B30" s="9" t="s">
        <v>50</v>
      </c>
      <c r="C30" s="9" t="s">
        <v>40</v>
      </c>
      <c r="D30" s="9" t="s">
        <v>45</v>
      </c>
      <c r="E30" s="9" t="s">
        <v>25</v>
      </c>
      <c r="F30" s="9">
        <v>19.98</v>
      </c>
      <c r="G30" s="9">
        <v>15.29</v>
      </c>
      <c r="H30" s="9">
        <v>15.85</v>
      </c>
      <c r="I30" s="9">
        <v>14.39</v>
      </c>
      <c r="J30" s="9">
        <v>0.9</v>
      </c>
      <c r="K30" s="9">
        <v>1.04</v>
      </c>
      <c r="L30" s="9">
        <v>0.8</v>
      </c>
      <c r="M30" s="9">
        <v>1.38</v>
      </c>
      <c r="N30" s="9">
        <v>19</v>
      </c>
      <c r="O30" s="9">
        <v>-32.22</v>
      </c>
      <c r="P30" s="9">
        <v>18792</v>
      </c>
      <c r="Q30" s="9">
        <v>0.78</v>
      </c>
      <c r="R30" s="9">
        <v>4</v>
      </c>
      <c r="S30" s="9" t="s">
        <v>48</v>
      </c>
    </row>
    <row r="31" spans="1:19">
      <c r="A31" s="7">
        <v>100025</v>
      </c>
      <c r="B31" s="9" t="s">
        <v>51</v>
      </c>
      <c r="C31" s="9" t="s">
        <v>40</v>
      </c>
      <c r="D31" s="9" t="s">
        <v>52</v>
      </c>
      <c r="E31" s="9" t="s">
        <v>19</v>
      </c>
      <c r="F31" s="9">
        <v>6.83</v>
      </c>
      <c r="G31" s="9">
        <v>7.37</v>
      </c>
      <c r="H31" s="9">
        <v>6.41</v>
      </c>
      <c r="I31" s="9">
        <v>5.39</v>
      </c>
      <c r="J31" s="9">
        <v>1.98</v>
      </c>
      <c r="K31" s="9">
        <v>0.44</v>
      </c>
      <c r="L31" s="9">
        <v>1.84</v>
      </c>
      <c r="M31" s="9">
        <v>2.79</v>
      </c>
      <c r="N31" s="9">
        <v>4</v>
      </c>
      <c r="O31" s="9">
        <v>-6.01</v>
      </c>
      <c r="P31" s="9">
        <v>27953</v>
      </c>
      <c r="Q31" s="9">
        <v>0.56000000000000005</v>
      </c>
      <c r="R31" s="9">
        <v>3</v>
      </c>
      <c r="S31" s="9" t="s">
        <v>38</v>
      </c>
    </row>
    <row r="32" spans="1:19">
      <c r="A32" s="7">
        <v>149322</v>
      </c>
      <c r="B32" s="9" t="s">
        <v>129</v>
      </c>
      <c r="C32" s="9" t="s">
        <v>128</v>
      </c>
      <c r="D32" s="9" t="s">
        <v>18</v>
      </c>
      <c r="E32" s="9" t="s">
        <v>19</v>
      </c>
      <c r="F32" s="9">
        <v>11.96</v>
      </c>
      <c r="G32" s="9">
        <v>12.82</v>
      </c>
      <c r="H32" s="9">
        <v>12.35</v>
      </c>
      <c r="I32" s="9">
        <v>11</v>
      </c>
      <c r="J32" s="9">
        <v>1.82</v>
      </c>
      <c r="K32" s="9">
        <v>0.91</v>
      </c>
      <c r="L32" s="9">
        <v>0.92</v>
      </c>
      <c r="M32" s="9">
        <v>1.63</v>
      </c>
      <c r="N32" s="9">
        <v>14</v>
      </c>
      <c r="O32" s="9">
        <v>-21.7</v>
      </c>
      <c r="P32" s="9">
        <v>41828</v>
      </c>
      <c r="Q32" s="9">
        <v>1.54</v>
      </c>
      <c r="R32" s="9">
        <v>5</v>
      </c>
      <c r="S32" s="9" t="s">
        <v>22</v>
      </c>
    </row>
    <row r="33" spans="1:19">
      <c r="A33" s="7">
        <v>149323</v>
      </c>
      <c r="B33" s="9" t="s">
        <v>131</v>
      </c>
      <c r="C33" s="9" t="s">
        <v>128</v>
      </c>
      <c r="D33" s="9" t="s">
        <v>45</v>
      </c>
      <c r="E33" s="9" t="s">
        <v>19</v>
      </c>
      <c r="F33" s="9">
        <v>14.12</v>
      </c>
      <c r="G33" s="9">
        <v>17.16</v>
      </c>
      <c r="H33" s="9">
        <v>19</v>
      </c>
      <c r="I33" s="9">
        <v>16.14</v>
      </c>
      <c r="J33" s="9">
        <v>1.02</v>
      </c>
      <c r="K33" s="9">
        <v>0.98</v>
      </c>
      <c r="L33" s="9">
        <v>0.9</v>
      </c>
      <c r="M33" s="9">
        <v>1.5</v>
      </c>
      <c r="N33" s="9">
        <v>19</v>
      </c>
      <c r="O33" s="9">
        <v>-26.99</v>
      </c>
      <c r="P33" s="9">
        <v>37835</v>
      </c>
      <c r="Q33" s="9">
        <v>1.61</v>
      </c>
      <c r="R33" s="9">
        <v>4</v>
      </c>
      <c r="S33" s="9" t="s">
        <v>48</v>
      </c>
    </row>
    <row r="34" spans="1:19">
      <c r="A34" s="7">
        <v>149324</v>
      </c>
      <c r="B34" s="9" t="s">
        <v>133</v>
      </c>
      <c r="C34" s="9" t="s">
        <v>128</v>
      </c>
      <c r="D34" s="9" t="s">
        <v>27</v>
      </c>
      <c r="E34" s="9" t="s">
        <v>19</v>
      </c>
      <c r="F34" s="9">
        <v>20.2</v>
      </c>
      <c r="G34" s="9">
        <v>20.079999999999998</v>
      </c>
      <c r="H34" s="9">
        <v>20.61</v>
      </c>
      <c r="I34" s="9">
        <v>19.39</v>
      </c>
      <c r="J34" s="9">
        <v>0.69</v>
      </c>
      <c r="K34" s="9">
        <v>0.98</v>
      </c>
      <c r="L34" s="9">
        <v>0.8</v>
      </c>
      <c r="M34" s="9">
        <v>1.23</v>
      </c>
      <c r="N34" s="9">
        <v>25</v>
      </c>
      <c r="O34" s="9">
        <v>-17.010000000000002</v>
      </c>
      <c r="P34" s="9">
        <v>35124</v>
      </c>
      <c r="Q34" s="9">
        <v>1.52</v>
      </c>
      <c r="R34" s="9">
        <v>4</v>
      </c>
      <c r="S34" s="9" t="s">
        <v>30</v>
      </c>
    </row>
    <row r="35" spans="1:19">
      <c r="A35" s="7">
        <v>119092</v>
      </c>
      <c r="B35" s="9" t="s">
        <v>95</v>
      </c>
      <c r="C35" s="9" t="s">
        <v>94</v>
      </c>
      <c r="D35" s="9" t="s">
        <v>18</v>
      </c>
      <c r="E35" s="9" t="s">
        <v>19</v>
      </c>
      <c r="F35" s="9">
        <v>11.82</v>
      </c>
      <c r="G35" s="9">
        <v>11.84</v>
      </c>
      <c r="H35" s="9">
        <v>14.14</v>
      </c>
      <c r="I35" s="9">
        <v>10.43</v>
      </c>
      <c r="J35" s="9">
        <v>1.41</v>
      </c>
      <c r="K35" s="9">
        <v>0.91</v>
      </c>
      <c r="L35" s="9">
        <v>0.85</v>
      </c>
      <c r="M35" s="9">
        <v>1.25</v>
      </c>
      <c r="N35" s="9">
        <v>14</v>
      </c>
      <c r="O35" s="9">
        <v>-27.54</v>
      </c>
      <c r="P35" s="9">
        <v>25803</v>
      </c>
      <c r="Q35" s="9">
        <v>1.64</v>
      </c>
      <c r="R35" s="9">
        <v>4</v>
      </c>
      <c r="S35" s="9" t="s">
        <v>22</v>
      </c>
    </row>
    <row r="36" spans="1:19">
      <c r="A36" s="7">
        <v>119093</v>
      </c>
      <c r="B36" s="9" t="s">
        <v>97</v>
      </c>
      <c r="C36" s="9" t="s">
        <v>94</v>
      </c>
      <c r="D36" s="9" t="s">
        <v>18</v>
      </c>
      <c r="E36" s="9" t="s">
        <v>25</v>
      </c>
      <c r="F36" s="9">
        <v>13.95</v>
      </c>
      <c r="G36" s="9">
        <v>12.14</v>
      </c>
      <c r="H36" s="9">
        <v>13.66</v>
      </c>
      <c r="I36" s="9">
        <v>10.71</v>
      </c>
      <c r="J36" s="9">
        <v>1.43</v>
      </c>
      <c r="K36" s="9">
        <v>0.87</v>
      </c>
      <c r="L36" s="9">
        <v>0.87</v>
      </c>
      <c r="M36" s="9">
        <v>1.54</v>
      </c>
      <c r="N36" s="9">
        <v>14</v>
      </c>
      <c r="O36" s="9">
        <v>-17.399999999999999</v>
      </c>
      <c r="P36" s="9">
        <v>15866</v>
      </c>
      <c r="Q36" s="9">
        <v>0.75</v>
      </c>
      <c r="R36" s="9">
        <v>4</v>
      </c>
      <c r="S36" s="9" t="s">
        <v>22</v>
      </c>
    </row>
    <row r="37" spans="1:19">
      <c r="A37" s="7">
        <v>119094</v>
      </c>
      <c r="B37" s="9" t="s">
        <v>98</v>
      </c>
      <c r="C37" s="9" t="s">
        <v>94</v>
      </c>
      <c r="D37" s="9" t="s">
        <v>45</v>
      </c>
      <c r="E37" s="9" t="s">
        <v>19</v>
      </c>
      <c r="F37" s="9">
        <v>14.88</v>
      </c>
      <c r="G37" s="9">
        <v>15.18</v>
      </c>
      <c r="H37" s="9">
        <v>18.940000000000001</v>
      </c>
      <c r="I37" s="9">
        <v>13.76</v>
      </c>
      <c r="J37" s="9">
        <v>1.42</v>
      </c>
      <c r="K37" s="9">
        <v>1</v>
      </c>
      <c r="L37" s="9">
        <v>0.8</v>
      </c>
      <c r="M37" s="9">
        <v>1.18</v>
      </c>
      <c r="N37" s="9">
        <v>19</v>
      </c>
      <c r="O37" s="9">
        <v>-32.380000000000003</v>
      </c>
      <c r="P37" s="9">
        <v>28996</v>
      </c>
      <c r="Q37" s="9">
        <v>1.38</v>
      </c>
      <c r="R37" s="9">
        <v>5</v>
      </c>
      <c r="S37" s="9" t="s">
        <v>48</v>
      </c>
    </row>
    <row r="38" spans="1:19">
      <c r="A38" s="7">
        <v>119095</v>
      </c>
      <c r="B38" s="9" t="s">
        <v>101</v>
      </c>
      <c r="C38" s="9" t="s">
        <v>94</v>
      </c>
      <c r="D38" s="9" t="s">
        <v>27</v>
      </c>
      <c r="E38" s="9" t="s">
        <v>19</v>
      </c>
      <c r="F38" s="9">
        <v>21.97</v>
      </c>
      <c r="G38" s="9">
        <v>20.98</v>
      </c>
      <c r="H38" s="9">
        <v>22.62</v>
      </c>
      <c r="I38" s="9">
        <v>20.47</v>
      </c>
      <c r="J38" s="9">
        <v>0.51</v>
      </c>
      <c r="K38" s="9">
        <v>1</v>
      </c>
      <c r="L38" s="9">
        <v>0.84</v>
      </c>
      <c r="M38" s="9">
        <v>1.4</v>
      </c>
      <c r="N38" s="9">
        <v>25</v>
      </c>
      <c r="O38" s="9">
        <v>-14.45</v>
      </c>
      <c r="P38" s="9">
        <v>21545</v>
      </c>
      <c r="Q38" s="9">
        <v>1.38</v>
      </c>
      <c r="R38" s="9">
        <v>4</v>
      </c>
      <c r="S38" s="9" t="s">
        <v>30</v>
      </c>
    </row>
    <row r="39" spans="1:19">
      <c r="A39" s="7">
        <v>101206</v>
      </c>
      <c r="B39" s="9" t="s">
        <v>104</v>
      </c>
      <c r="C39" s="9" t="s">
        <v>103</v>
      </c>
      <c r="D39" s="9" t="s">
        <v>18</v>
      </c>
      <c r="E39" s="9" t="s">
        <v>19</v>
      </c>
      <c r="F39" s="9">
        <v>14.82</v>
      </c>
      <c r="G39" s="9">
        <v>13.78</v>
      </c>
      <c r="H39" s="9">
        <v>12.86</v>
      </c>
      <c r="I39" s="9">
        <v>12.44</v>
      </c>
      <c r="J39" s="9">
        <v>1.34</v>
      </c>
      <c r="K39" s="9">
        <v>1.03</v>
      </c>
      <c r="L39" s="9">
        <v>0.98</v>
      </c>
      <c r="M39" s="9">
        <v>1.25</v>
      </c>
      <c r="N39" s="9">
        <v>14</v>
      </c>
      <c r="O39" s="9">
        <v>-15.07</v>
      </c>
      <c r="P39" s="9">
        <v>23500</v>
      </c>
      <c r="Q39" s="9">
        <v>1.6</v>
      </c>
      <c r="R39" s="9">
        <v>5</v>
      </c>
      <c r="S39" s="9" t="s">
        <v>22</v>
      </c>
    </row>
    <row r="40" spans="1:19">
      <c r="A40" s="7">
        <v>101207</v>
      </c>
      <c r="B40" s="9" t="s">
        <v>106</v>
      </c>
      <c r="C40" s="9" t="s">
        <v>103</v>
      </c>
      <c r="D40" s="9" t="s">
        <v>27</v>
      </c>
      <c r="E40" s="9" t="s">
        <v>19</v>
      </c>
      <c r="F40" s="9">
        <v>24.93</v>
      </c>
      <c r="G40" s="9">
        <v>22.38</v>
      </c>
      <c r="H40" s="9">
        <v>23.8</v>
      </c>
      <c r="I40" s="9">
        <v>20.54</v>
      </c>
      <c r="J40" s="9">
        <v>1.84</v>
      </c>
      <c r="K40" s="9">
        <v>0.97</v>
      </c>
      <c r="L40" s="9">
        <v>0.9</v>
      </c>
      <c r="M40" s="9">
        <v>1.47</v>
      </c>
      <c r="N40" s="9">
        <v>25</v>
      </c>
      <c r="O40" s="9">
        <v>-23.61</v>
      </c>
      <c r="P40" s="9">
        <v>41613</v>
      </c>
      <c r="Q40" s="9">
        <v>1.53</v>
      </c>
      <c r="R40" s="9">
        <v>5</v>
      </c>
      <c r="S40" s="9" t="s">
        <v>30</v>
      </c>
    </row>
    <row r="41" spans="1:19">
      <c r="A41" s="7">
        <v>101208</v>
      </c>
      <c r="B41" s="9" t="s">
        <v>108</v>
      </c>
      <c r="C41" s="9" t="s">
        <v>103</v>
      </c>
      <c r="D41" s="9" t="s">
        <v>67</v>
      </c>
      <c r="E41" s="9" t="s">
        <v>19</v>
      </c>
      <c r="F41" s="9">
        <v>6.18</v>
      </c>
      <c r="G41" s="9">
        <v>5.14</v>
      </c>
      <c r="H41" s="9">
        <v>7.95</v>
      </c>
      <c r="I41" s="9">
        <v>3.96</v>
      </c>
      <c r="J41" s="9">
        <v>1.18</v>
      </c>
      <c r="K41" s="9">
        <v>0.43</v>
      </c>
      <c r="L41" s="9">
        <v>5.14</v>
      </c>
      <c r="M41" s="9">
        <v>8.76</v>
      </c>
      <c r="N41" s="9">
        <v>0.5</v>
      </c>
      <c r="O41" s="9">
        <v>-3.66</v>
      </c>
      <c r="P41" s="9">
        <v>38995</v>
      </c>
      <c r="Q41" s="9">
        <v>0.79</v>
      </c>
      <c r="R41" s="9">
        <v>5</v>
      </c>
      <c r="S41" s="9" t="s">
        <v>38</v>
      </c>
    </row>
    <row r="42" spans="1:19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</sheetData>
  <sortState xmlns:xlrd2="http://schemas.microsoft.com/office/spreadsheetml/2017/richdata2" ref="A2:S41">
    <sortCondition descending="1" ref="C2:C41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F27AB-CB87-4728-B044-FE8A50B91CF9}">
  <dimension ref="A1:B11"/>
  <sheetViews>
    <sheetView workbookViewId="0">
      <selection activeCell="E3" sqref="E3"/>
    </sheetView>
  </sheetViews>
  <sheetFormatPr defaultRowHeight="15"/>
  <cols>
    <col min="1" max="1" width="41.85546875" customWidth="1"/>
    <col min="2" max="2" width="23.140625" customWidth="1"/>
  </cols>
  <sheetData>
    <row r="1" spans="1:2">
      <c r="A1" s="9" t="s">
        <v>2</v>
      </c>
      <c r="B1" s="9" t="s">
        <v>201</v>
      </c>
    </row>
    <row r="2" spans="1:2">
      <c r="A2" s="9" t="s">
        <v>111</v>
      </c>
      <c r="B2" s="9">
        <v>11.31</v>
      </c>
    </row>
    <row r="3" spans="1:2">
      <c r="A3" s="9" t="s">
        <v>114</v>
      </c>
      <c r="B3" s="9">
        <v>15.86</v>
      </c>
    </row>
    <row r="4" spans="1:2">
      <c r="A4" s="9" t="s">
        <v>116</v>
      </c>
      <c r="B4" s="9">
        <v>15.78</v>
      </c>
    </row>
    <row r="5" spans="1:2">
      <c r="A5" s="9" t="s">
        <v>16</v>
      </c>
      <c r="B5" s="9">
        <v>14.45</v>
      </c>
    </row>
    <row r="6" spans="1:2">
      <c r="A6" s="9" t="s">
        <v>24</v>
      </c>
      <c r="B6" s="9">
        <v>14.23</v>
      </c>
    </row>
    <row r="7" spans="1:2">
      <c r="A7" s="9" t="s">
        <v>26</v>
      </c>
      <c r="B7" s="9">
        <v>20.67</v>
      </c>
    </row>
    <row r="8" spans="1:2">
      <c r="A8" s="9" t="s">
        <v>32</v>
      </c>
      <c r="B8" s="9">
        <v>21.82</v>
      </c>
    </row>
    <row r="9" spans="1:2">
      <c r="A9" s="9" t="s">
        <v>33</v>
      </c>
      <c r="B9" s="9">
        <v>5.43</v>
      </c>
    </row>
    <row r="10" spans="1:2">
      <c r="A10" s="9" t="s">
        <v>72</v>
      </c>
      <c r="B10" s="9">
        <v>14.7</v>
      </c>
    </row>
    <row r="11" spans="1:2">
      <c r="A11" s="9" t="s">
        <v>74</v>
      </c>
      <c r="B11" s="9">
        <v>14.72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8E4B7-D2B4-4112-8AA0-69CE91EC521F}">
  <dimension ref="A1:K10"/>
  <sheetViews>
    <sheetView topLeftCell="A13" workbookViewId="0">
      <selection activeCell="D14" sqref="D14"/>
    </sheetView>
  </sheetViews>
  <sheetFormatPr defaultColWidth="34.28515625" defaultRowHeight="15"/>
  <cols>
    <col min="1" max="1" width="30.85546875" style="3" customWidth="1"/>
    <col min="2" max="16384" width="34.28515625" style="3"/>
  </cols>
  <sheetData>
    <row r="1" spans="1:11">
      <c r="A1" s="21" t="s">
        <v>211</v>
      </c>
      <c r="B1" s="22"/>
      <c r="C1" s="22"/>
      <c r="D1" s="22"/>
      <c r="E1" s="22"/>
      <c r="F1" s="22"/>
      <c r="G1" s="22"/>
      <c r="H1" s="22"/>
      <c r="I1" s="1"/>
      <c r="J1" s="1"/>
      <c r="K1" s="1"/>
    </row>
    <row r="2" spans="1:11">
      <c r="A2" s="22"/>
      <c r="B2" s="22"/>
      <c r="C2" s="22"/>
      <c r="D2" s="22"/>
      <c r="E2" s="22"/>
      <c r="F2" s="22"/>
      <c r="G2" s="22"/>
      <c r="H2" s="22"/>
    </row>
    <row r="4" spans="1:11" ht="15.75">
      <c r="A4" s="14" t="s">
        <v>212</v>
      </c>
      <c r="B4" s="15"/>
      <c r="C4" s="14" t="s">
        <v>213</v>
      </c>
      <c r="E4" s="14" t="s">
        <v>214</v>
      </c>
      <c r="G4" s="14" t="s">
        <v>215</v>
      </c>
    </row>
    <row r="5" spans="1:11" ht="18.75">
      <c r="A5" s="16">
        <f>COUNTA(Fund_Master!C:C)-1</f>
        <v>40</v>
      </c>
      <c r="C5" s="16">
        <f>COUNTA(_xlfn.UNIQUE(Fund_Master!B2:B41))</f>
        <v>10</v>
      </c>
      <c r="E5" s="16">
        <f>COUNTIF(Fund_Master!D:D,"Equity")</f>
        <v>34</v>
      </c>
      <c r="G5" s="16">
        <f>COUNTIF(Fund_Master!D:D,"Debt")</f>
        <v>6</v>
      </c>
    </row>
    <row r="8" spans="1:11" ht="15.75">
      <c r="A8" s="14" t="s">
        <v>216</v>
      </c>
      <c r="C8" s="14" t="s">
        <v>217</v>
      </c>
      <c r="E8" s="14" t="s">
        <v>218</v>
      </c>
      <c r="G8" s="13" t="s">
        <v>219</v>
      </c>
    </row>
    <row r="9" spans="1:11" ht="18.75">
      <c r="A9" s="16">
        <f>ROUND(AVERAGE(Fund_Master!I:I),2)</f>
        <v>1.24</v>
      </c>
      <c r="C9" s="16">
        <f>ROUND(AVERAGE(Performance!P:P),0)</f>
        <v>26092</v>
      </c>
      <c r="E9" s="16">
        <f>COUNTA(_xlfn.UNIQUE(Fund_Master!N2:N41))</f>
        <v>5</v>
      </c>
      <c r="G9" s="18">
        <f>ROUND(AVERAGE(Performance!R:R),1)</f>
        <v>4.3</v>
      </c>
    </row>
    <row r="10" spans="1:11">
      <c r="C10" s="17"/>
    </row>
  </sheetData>
  <mergeCells count="1">
    <mergeCell ref="A1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2026-07-30T06:07:08Z</dcterms:created>
  <dcterms:modified xsi:type="dcterms:W3CDTF">2026-07-30T10:01:27Z</dcterms:modified>
  <cp:category/>
  <cp:contentStatus/>
</cp:coreProperties>
</file>